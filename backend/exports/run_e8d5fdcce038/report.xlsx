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Every discount level tested" sheetId="5" r:id="rId5"/>
    <sheet name="The decision in one line" sheetId="6" r:id="rId6"/>
    <sheet name="The range where the answer is t" sheetId="7" r:id="rId7"/>
    <sheet name="Recommended discount per deal (" sheetId="8" r:id="rId8"/>
    <sheet name="Assumptions" sheetId="9" r:id="rId9"/>
    <sheet name="Run log" sheetId="10" r:id="rId10"/>
  </sheets>
  <definedNames>
    <definedName name="_xlnm._FilterDatabase" localSheetId="4" hidden="1">'Every discount level tested'!$A$4:$G$21</definedName>
    <definedName name="_xlnm._FilterDatabase" localSheetId="7" hidden="1">'Recommended discount per deal ('!$A$4:$F$29</definedName>
    <definedName name="_xlnm._FilterDatabase" localSheetId="9" hidden="1">'Run log'!$A$1:$D$44</definedName>
    <definedName name="_xlnm._FilterDatabase" localSheetId="5" hidden="1">'The decision in one line'!$A$4:$D$9</definedName>
    <definedName name="_xlnm._FilterDatabase" localSheetId="6" hidden="1">'The range where the answer is t'!$A$4:$E$21</definedName>
  </definedNames>
  <calcPr calcId="124519" fullCalcOnLoad="1"/>
</workbook>
</file>

<file path=xl/sharedStrings.xml><?xml version="1.0" encoding="utf-8"?>
<sst xmlns="http://schemas.openxmlformats.org/spreadsheetml/2006/main" count="739" uniqueCount="509">
  <si>
    <t>Simulation Arena</t>
  </si>
  <si>
    <t>Deal Approval &amp; Margin Balancing</t>
  </si>
  <si>
    <t>Approve 0% - it is the only discount the model can tell apart from the rest. The 25% the rep is asking for is past it - that costs about $3,835.12M of expected profit.</t>
  </si>
  <si>
    <t>What we did</t>
  </si>
  <si>
    <t>For each discount level we ran thousands of 'what-if' worlds. In each one the buyer's odds of saying yes wobble a little, and your delivery cost wobbles a little. We then ask the only question that matters: if you offered this discount again and again, how much profit would you bank on average? That is the expected profit - the chance of winning multiplied by the profit you keep. Because those worlds are a sample, we also work out how much the answer itself would wobble if we ran it again. Any discount whose expected profit is within twice that wobble of the best - or within 1% of the best profit, whichever is wider - is treated as giving the same answer. That is the range where you have genuine room to negotiate.</t>
  </si>
  <si>
    <t>Seed</t>
  </si>
  <si>
    <t>Run id</t>
  </si>
  <si>
    <t>run_e8d5fdcce038</t>
  </si>
  <si>
    <t>Generated</t>
  </si>
  <si>
    <t>22 Sep 2026 00:16</t>
  </si>
  <si>
    <t>Scenarios tested</t>
  </si>
  <si>
    <t>170,000</t>
  </si>
  <si>
    <t>Method</t>
  </si>
  <si>
    <t>Monte Carlo simulation with an empirical win-probability curve</t>
  </si>
  <si>
    <t>Reproducible</t>
  </si>
  <si>
    <t>Same seed gives the same numbers</t>
  </si>
  <si>
    <t>The numbers that matter</t>
  </si>
  <si>
    <t>Number</t>
  </si>
  <si>
    <t>Value</t>
  </si>
  <si>
    <t>What it means</t>
  </si>
  <si>
    <t>Compared with</t>
  </si>
  <si>
    <t>Best discount to offer</t>
  </si>
  <si>
    <t>0%</t>
  </si>
  <si>
    <t>This is where the extra wins are still worth more than the margin given away.</t>
  </si>
  <si>
    <t>rep asked for 25%</t>
  </si>
  <si>
    <t>Expected profit at that discount</t>
  </si>
  <si>
    <t>$489.79M</t>
  </si>
  <si>
    <t>Average profit if you made this call many times over.</t>
  </si>
  <si>
    <t>-</t>
  </si>
  <si>
    <t>Discount range you can approve without losing money</t>
  </si>
  <si>
    <t>Only one discount stands out - the model cannot tell any neighbouring discount apart from it. The model's own margin of error here is about $38.00M, so treat this as the best single number - the next discount along already costs real money.</t>
  </si>
  <si>
    <t>rep asked for 25% - outside the range</t>
  </si>
  <si>
    <t>Where it starts to genuinely cost you</t>
  </si>
  <si>
    <t>2%</t>
  </si>
  <si>
    <t>At 2% the expected profit falls $191.78M below the best. That gap is wider than the model's own margin of error, so the loss is real.</t>
  </si>
  <si>
    <t>costs about $191.78M</t>
  </si>
  <si>
    <t>Expected profit if you cave in</t>
  </si>
  <si>
    <t>-$3,345.34M</t>
  </si>
  <si>
    <t>What 25% actually earns you.</t>
  </si>
  <si>
    <t>-$3,835.12M vs the optimum</t>
  </si>
  <si>
    <t>Profit given away</t>
  </si>
  <si>
    <t>$3,835.12M</t>
  </si>
  <si>
    <t>Buying +49 points of win probability costs you this much.</t>
  </si>
  <si>
    <t>Odds of winning at the best discount</t>
  </si>
  <si>
    <t>36.9%</t>
  </si>
  <si>
    <t>The chance the deal lands.</t>
  </si>
  <si>
    <t>Worst case (1-in-20)</t>
  </si>
  <si>
    <t>$0</t>
  </si>
  <si>
    <t>In an unlucky run of 20 deals, this is roughly the profit you would see.</t>
  </si>
  <si>
    <t>Recommendation</t>
  </si>
  <si>
    <t>Risk</t>
  </si>
  <si>
    <t>High</t>
  </si>
  <si>
    <t>Risk score</t>
  </si>
  <si>
    <t>100 out of 100</t>
  </si>
  <si>
    <t>Confidence</t>
  </si>
  <si>
    <t>Why</t>
  </si>
  <si>
    <t>1.</t>
  </si>
  <si>
    <t>Only 0% stands out from the rest - the model cannot tell any neighbouring discount apart from it.</t>
  </si>
  <si>
    <t>2.</t>
  </si>
  <si>
    <t>Expected profit peaks at 0% ($489.79M).</t>
  </si>
  <si>
    <t>3.</t>
  </si>
  <si>
    <t>The requested 25% delivers -$3,345.34M - $3,835.12M less than the peak, which is more than the model's margin of error.</t>
  </si>
  <si>
    <t>4.</t>
  </si>
  <si>
    <t>Win probability only improves +49 points for that giveaway.</t>
  </si>
  <si>
    <t>What to do</t>
  </si>
  <si>
    <t>Action 1</t>
  </si>
  <si>
    <t>Approve 0% as the standard concession - it is the only discount the model can tell apart from the rest.</t>
  </si>
  <si>
    <t>Action 2</t>
  </si>
  <si>
    <t>Above 0% (the top of the safe range), require VP sign-off: the 25% being asked for costs about $153.40M per point of discount.</t>
  </si>
  <si>
    <t>Action 3</t>
  </si>
  <si>
    <t>At 25% there is a 100% chance of breaching the 12.0% margin floor - add a volume or term commitment to earn the deeper discount.</t>
  </si>
  <si>
    <t>Trade-off</t>
  </si>
  <si>
    <t>You are trading $3,835.12M of expected profit for +49 points of win probability.</t>
  </si>
  <si>
    <t>Charts</t>
  </si>
  <si>
    <t>Where profit peaks</t>
  </si>
  <si>
    <t>0.0</t>
  </si>
  <si>
    <t>2.5</t>
  </si>
  <si>
    <t>5.0</t>
  </si>
  <si>
    <t>7.5</t>
  </si>
  <si>
    <t>10.0</t>
  </si>
  <si>
    <t>12.5</t>
  </si>
  <si>
    <t>15.0</t>
  </si>
  <si>
    <t>17.5</t>
  </si>
  <si>
    <t>20.0</t>
  </si>
  <si>
    <t>22.5</t>
  </si>
  <si>
    <t>25.0</t>
  </si>
  <si>
    <t>27.5</t>
  </si>
  <si>
    <t>30.0</t>
  </si>
  <si>
    <t>32.5</t>
  </si>
  <si>
    <t>35.0</t>
  </si>
  <si>
    <t>37.5</t>
  </si>
  <si>
    <t>40.0</t>
  </si>
  <si>
    <t>Expected profit</t>
  </si>
  <si>
    <t>Profit if the deal closes</t>
  </si>
  <si>
    <t>The best answer, minus the model's margin of error</t>
  </si>
  <si>
    <t>Grey is what you keep per won deal - it only falls. Green is what you actually expect to earn - it rises, peaks, then falls. The amber dashed line is the best profit minus the model's own margin of error: every discount whose green line stays above it is the same answer, which is the 0% range. Past that you are genuinely paying for the win.</t>
  </si>
  <si>
    <t>What the extra discount buys you</t>
  </si>
  <si>
    <t>Chance of winning</t>
  </si>
  <si>
    <t>Past the knee of this curve, extra discount buys almost no extra certainty - but keeps costing margin. That is the trap.</t>
  </si>
  <si>
    <t>The range of outcomes at the best discount</t>
  </si>
  <si>
    <t>-2,207,476,394.14</t>
  </si>
  <si>
    <t>-1,942,986,426.22</t>
  </si>
  <si>
    <t>-1,678,496,458.30</t>
  </si>
  <si>
    <t>-1,414,006,490.38</t>
  </si>
  <si>
    <t>-1,149,516,522.46</t>
  </si>
  <si>
    <t>-885,026,554.54</t>
  </si>
  <si>
    <t>-620,536,586.62</t>
  </si>
  <si>
    <t>-356,046,618.70</t>
  </si>
  <si>
    <t>-91,556,650.78</t>
  </si>
  <si>
    <t>172,933,317.14</t>
  </si>
  <si>
    <t>437,423,285.06</t>
  </si>
  <si>
    <t>701,913,252.98</t>
  </si>
  <si>
    <t>966,403,220.90</t>
  </si>
  <si>
    <t>1,230,893,188.82</t>
  </si>
  <si>
    <t>1,495,383,156.74</t>
  </si>
  <si>
    <t>1,759,873,124.65</t>
  </si>
  <si>
    <t>2,024,363,092.57</t>
  </si>
  <si>
    <t>2,288,853,060.49</t>
  </si>
  <si>
    <t>2,553,343,028.41</t>
  </si>
  <si>
    <t>2,817,832,996.33</t>
  </si>
  <si>
    <t>3,082,322,964.25</t>
  </si>
  <si>
    <t>3,346,812,932.17</t>
  </si>
  <si>
    <t>3,611,302,900.09</t>
  </si>
  <si>
    <t>3,875,792,868.01</t>
  </si>
  <si>
    <t>4,140,282,835.93</t>
  </si>
  <si>
    <t>4,404,772,803.85</t>
  </si>
  <si>
    <t>4,669,262,771.77</t>
  </si>
  <si>
    <t>4,933,752,739.69</t>
  </si>
  <si>
    <t>5,198,242,707.61</t>
  </si>
  <si>
    <t>5,462,732,675.53</t>
  </si>
  <si>
    <t>Profit outcomes</t>
  </si>
  <si>
    <t>The cluster at zero is the deals you lose. The spread on the right is the profit you make when you win.</t>
  </si>
  <si>
    <t>Every discount level tested</t>
  </si>
  <si>
    <t>Expected profit = chance of winning x profit kept. Highlighted row is the winner.</t>
  </si>
  <si>
    <t>Discount</t>
  </si>
  <si>
    <t>Price after discount</t>
  </si>
  <si>
    <t>Profit if won</t>
  </si>
  <si>
    <t>Win chance</t>
  </si>
  <si>
    <t>Worst case</t>
  </si>
  <si>
    <t>Breaches floor?</t>
  </si>
  <si>
    <t>0.0%</t>
  </si>
  <si>
    <t>$20,911,979,419</t>
  </si>
  <si>
    <t>$1,316,300,252</t>
  </si>
  <si>
    <t>$489,788,040</t>
  </si>
  <si>
    <t>85% chance</t>
  </si>
  <si>
    <t>2.5%</t>
  </si>
  <si>
    <t>$20,389,179,933</t>
  </si>
  <si>
    <t>$806,594,813</t>
  </si>
  <si>
    <t>38.3%</t>
  </si>
  <si>
    <t>$298,003,747</t>
  </si>
  <si>
    <t>-$518,160,848</t>
  </si>
  <si>
    <t>92% chance</t>
  </si>
  <si>
    <t>5.0%</t>
  </si>
  <si>
    <t>$19,866,380,448</t>
  </si>
  <si>
    <t>$271,925,292</t>
  </si>
  <si>
    <t>40.1%</t>
  </si>
  <si>
    <t>$107,035,517</t>
  </si>
  <si>
    <t>-$1,106,043,708</t>
  </si>
  <si>
    <t>96% chance</t>
  </si>
  <si>
    <t>7.5%</t>
  </si>
  <si>
    <t>$19,343,580,962</t>
  </si>
  <si>
    <t>-$257,233,422</t>
  </si>
  <si>
    <t>43.1%</t>
  </si>
  <si>
    <t>-$108,229,562</t>
  </si>
  <si>
    <t>-$1,667,770,697</t>
  </si>
  <si>
    <t>99% chance</t>
  </si>
  <si>
    <t>10.0%</t>
  </si>
  <si>
    <t>$18,820,781,477</t>
  </si>
  <si>
    <t>-$777,711,373</t>
  </si>
  <si>
    <t>47.5%</t>
  </si>
  <si>
    <t>-$359,508,475</t>
  </si>
  <si>
    <t>-$2,164,567,940</t>
  </si>
  <si>
    <t>100% chance</t>
  </si>
  <si>
    <t>12.5%</t>
  </si>
  <si>
    <t>$18,297,981,991</t>
  </si>
  <si>
    <t>-$1,260,773,237</t>
  </si>
  <si>
    <t>53.2%</t>
  </si>
  <si>
    <t>-$665,850,777</t>
  </si>
  <si>
    <t>-$2,766,028,834</t>
  </si>
  <si>
    <t>15.0%</t>
  </si>
  <si>
    <t>$17,775,182,506</t>
  </si>
  <si>
    <t>-$1,811,949,781</t>
  </si>
  <si>
    <t>60.3%</t>
  </si>
  <si>
    <t>-$1,098,691,257</t>
  </si>
  <si>
    <t>-$3,453,761,503</t>
  </si>
  <si>
    <t>17.5%</t>
  </si>
  <si>
    <t>$17,252,383,021</t>
  </si>
  <si>
    <t>-$2,312,040,617</t>
  </si>
  <si>
    <t>67.8%</t>
  </si>
  <si>
    <t>-$1,562,362,933</t>
  </si>
  <si>
    <t>-$4,013,868,439</t>
  </si>
  <si>
    <t>20.0%</t>
  </si>
  <si>
    <t>$16,729,583,535</t>
  </si>
  <si>
    <t>-$2,849,981,803</t>
  </si>
  <si>
    <t>75.2%</t>
  </si>
  <si>
    <t>-$2,143,707,264</t>
  </si>
  <si>
    <t>-$4,636,785,211</t>
  </si>
  <si>
    <t>22.5%</t>
  </si>
  <si>
    <t>$16,206,784,050</t>
  </si>
  <si>
    <t>-$3,382,134,825</t>
  </si>
  <si>
    <t>81.3%</t>
  </si>
  <si>
    <t>-$2,759,835,270</t>
  </si>
  <si>
    <t>-$5,202,826,247</t>
  </si>
  <si>
    <t>25.0%</t>
  </si>
  <si>
    <t>$15,683,984,564</t>
  </si>
  <si>
    <t>-$3,911,588,991</t>
  </si>
  <si>
    <t>85.9%</t>
  </si>
  <si>
    <t>-$3,345,336,695</t>
  </si>
  <si>
    <t>-$5,754,713,952</t>
  </si>
  <si>
    <t>27.5%</t>
  </si>
  <si>
    <t>$15,161,185,079</t>
  </si>
  <si>
    <t>-$4,442,147,949</t>
  </si>
  <si>
    <t>89.2%</t>
  </si>
  <si>
    <t>-$3,950,806,161</t>
  </si>
  <si>
    <t>-$6,295,583,075</t>
  </si>
  <si>
    <t>30.0%</t>
  </si>
  <si>
    <t>$14,638,385,593</t>
  </si>
  <si>
    <t>-$4,982,764,419</t>
  </si>
  <si>
    <t>91.4%</t>
  </si>
  <si>
    <t>-$4,556,191,989</t>
  </si>
  <si>
    <t>-$6,898,065,080</t>
  </si>
  <si>
    <t>32.5%</t>
  </si>
  <si>
    <t>$14,115,586,108</t>
  </si>
  <si>
    <t>-$5,484,029,348</t>
  </si>
  <si>
    <t>92.7%</t>
  </si>
  <si>
    <t>-$5,082,629,649</t>
  </si>
  <si>
    <t>-$7,407,158,713</t>
  </si>
  <si>
    <t>35.0%</t>
  </si>
  <si>
    <t>$13,592,786,622</t>
  </si>
  <si>
    <t>-$6,019,753,538</t>
  </si>
  <si>
    <t>93.4%</t>
  </si>
  <si>
    <t>-$5,631,830,290</t>
  </si>
  <si>
    <t>-$7,901,217,889</t>
  </si>
  <si>
    <t>37.5%</t>
  </si>
  <si>
    <t>$13,069,987,137</t>
  </si>
  <si>
    <t>-$6,505,024,880</t>
  </si>
  <si>
    <t>93.9%</t>
  </si>
  <si>
    <t>-$6,104,155,757</t>
  </si>
  <si>
    <t>-$8,375,361,830</t>
  </si>
  <si>
    <t>40.0%</t>
  </si>
  <si>
    <t>$12,547,187,651</t>
  </si>
  <si>
    <t>-$7,047,045,555</t>
  </si>
  <si>
    <t>94.1%</t>
  </si>
  <si>
    <t>-$6,637,161,913</t>
  </si>
  <si>
    <t>-$8,937,063,215</t>
  </si>
  <si>
    <t>Row 1 maximises expected profit.</t>
  </si>
  <si>
    <t>The decision in one line</t>
  </si>
  <si>
    <t>What changes if you approve the discount being asked for.</t>
  </si>
  <si>
    <t>Column 1</t>
  </si>
  <si>
    <t>Best (0%)</t>
  </si>
  <si>
    <t>Asked (25%)</t>
  </si>
  <si>
    <t>Difference</t>
  </si>
  <si>
    <t>+25.0 pts</t>
  </si>
  <si>
    <t>+49.0 pts</t>
  </si>
  <si>
    <t>-$5,227,889,243</t>
  </si>
  <si>
    <t>-$3,835,124,735</t>
  </si>
  <si>
    <t>Range where the answer is the same</t>
  </si>
  <si>
    <t>outside it</t>
  </si>
  <si>
    <t>margin of error $38.00M</t>
  </si>
  <si>
    <t>The range where the answer is the same</t>
  </si>
  <si>
    <t>Every discount we tested, how far it falls short of the best, and whether that shortfall is real money or just the model's own margin of error.</t>
  </si>
  <si>
    <t>Short of the best</t>
  </si>
  <si>
    <t>Inside the range?</t>
  </si>
  <si>
    <t>Inside</t>
  </si>
  <si>
    <t>safe to approve</t>
  </si>
  <si>
    <t>$191,784,293</t>
  </si>
  <si>
    <t>Outside</t>
  </si>
  <si>
    <t>costs you $191.78M</t>
  </si>
  <si>
    <t>$382,752,523</t>
  </si>
  <si>
    <t>costs you $382.75M</t>
  </si>
  <si>
    <t>$598,017,602</t>
  </si>
  <si>
    <t>costs you $598.02M</t>
  </si>
  <si>
    <t>$849,296,515</t>
  </si>
  <si>
    <t>costs you $849.30M</t>
  </si>
  <si>
    <t>$1,155,638,816</t>
  </si>
  <si>
    <t>costs you $1,155.64M</t>
  </si>
  <si>
    <t>$1,588,479,296</t>
  </si>
  <si>
    <t>costs you $1,588.48M</t>
  </si>
  <si>
    <t>$2,052,150,972</t>
  </si>
  <si>
    <t>costs you $2,052.15M</t>
  </si>
  <si>
    <t>$2,633,495,304</t>
  </si>
  <si>
    <t>costs you $2,633.50M</t>
  </si>
  <si>
    <t>$3,249,623,310</t>
  </si>
  <si>
    <t>costs you $3,249.62M</t>
  </si>
  <si>
    <t>$3,835,124,735</t>
  </si>
  <si>
    <t>costs you $3,835.12M</t>
  </si>
  <si>
    <t>$4,440,594,201</t>
  </si>
  <si>
    <t>costs you $4,440.59M</t>
  </si>
  <si>
    <t>$5,045,980,028</t>
  </si>
  <si>
    <t>costs you $5,045.98M</t>
  </si>
  <si>
    <t>$5,572,417,689</t>
  </si>
  <si>
    <t>costs you $5,572.42M</t>
  </si>
  <si>
    <t>$6,121,618,330</t>
  </si>
  <si>
    <t>costs you $6,121.62M</t>
  </si>
  <si>
    <t>$6,593,943,796</t>
  </si>
  <si>
    <t>costs you $6,593.94M</t>
  </si>
  <si>
    <t>$7,126,949,953</t>
  </si>
  <si>
    <t>costs you $7,126.95M</t>
  </si>
  <si>
    <t>Highlighted rows are the range where the answer is the same (0%) - within about $38.00M of the best.</t>
  </si>
  <si>
    <t>Recommended discount per deal (top 25)</t>
  </si>
  <si>
    <t>The same logic applied to each deal individually.</t>
  </si>
  <si>
    <t>Deal</t>
  </si>
  <si>
    <t>Customer</t>
  </si>
  <si>
    <t>Margin</t>
  </si>
  <si>
    <t>Best discount</t>
  </si>
  <si>
    <t>Q-000011589</t>
  </si>
  <si>
    <t>Acct-226235</t>
  </si>
  <si>
    <t>$24,000,000</t>
  </si>
  <si>
    <t>-5.7%</t>
  </si>
  <si>
    <t>-$502,859</t>
  </si>
  <si>
    <t>Q-000009396</t>
  </si>
  <si>
    <t>Acct-223884</t>
  </si>
  <si>
    <t>3.8%</t>
  </si>
  <si>
    <t>$337,013</t>
  </si>
  <si>
    <t>Q-000009047</t>
  </si>
  <si>
    <t>Acct-090640</t>
  </si>
  <si>
    <t>4.8%</t>
  </si>
  <si>
    <t>$424,814</t>
  </si>
  <si>
    <t>Q-000008091</t>
  </si>
  <si>
    <t>Acct-110274</t>
  </si>
  <si>
    <t>$19,296,863</t>
  </si>
  <si>
    <t>15.4%</t>
  </si>
  <si>
    <t>$1,096,718</t>
  </si>
  <si>
    <t>Q-000007533</t>
  </si>
  <si>
    <t>Acct-062342</t>
  </si>
  <si>
    <t>$16,052,463</t>
  </si>
  <si>
    <t>0.7%</t>
  </si>
  <si>
    <t>$40,337</t>
  </si>
  <si>
    <t>Q-000018826</t>
  </si>
  <si>
    <t>Acct-138872</t>
  </si>
  <si>
    <t>$14,565,883</t>
  </si>
  <si>
    <t>23.4%</t>
  </si>
  <si>
    <t>$1,260,595</t>
  </si>
  <si>
    <t>Q-000002411</t>
  </si>
  <si>
    <t>Acct-019732</t>
  </si>
  <si>
    <t>$14,340,308</t>
  </si>
  <si>
    <t>-11.8%</t>
  </si>
  <si>
    <t>-$623,716</t>
  </si>
  <si>
    <t>Q-000006273</t>
  </si>
  <si>
    <t>Acct-125458</t>
  </si>
  <si>
    <t>$14,145,541</t>
  </si>
  <si>
    <t>46.0%</t>
  </si>
  <si>
    <t>20%</t>
  </si>
  <si>
    <t>$2,766,932</t>
  </si>
  <si>
    <t>Q-000005246</t>
  </si>
  <si>
    <t>Acct-233590</t>
  </si>
  <si>
    <t>$14,094,974</t>
  </si>
  <si>
    <t>12.6%</t>
  </si>
  <si>
    <t>$654,193</t>
  </si>
  <si>
    <t>Q-000013379</t>
  </si>
  <si>
    <t>Acct-205409</t>
  </si>
  <si>
    <t>$13,878,192</t>
  </si>
  <si>
    <t>21.0%</t>
  </si>
  <si>
    <t>$1,078,510</t>
  </si>
  <si>
    <t>Q-000004222</t>
  </si>
  <si>
    <t>Acct-219531</t>
  </si>
  <si>
    <t>$13,822,773</t>
  </si>
  <si>
    <t>2.4%</t>
  </si>
  <si>
    <t>$123,102</t>
  </si>
  <si>
    <t>Q-000009736</t>
  </si>
  <si>
    <t>Acct-113136</t>
  </si>
  <si>
    <t>$13,452,114</t>
  </si>
  <si>
    <t>-3.5%</t>
  </si>
  <si>
    <t>-$172,493</t>
  </si>
  <si>
    <t>Q-000017300</t>
  </si>
  <si>
    <t>Acct-007220</t>
  </si>
  <si>
    <t>$13,422,614</t>
  </si>
  <si>
    <t>25.1%</t>
  </si>
  <si>
    <t>$1,245,477</t>
  </si>
  <si>
    <t>Q-000000139</t>
  </si>
  <si>
    <t>Acct-108061</t>
  </si>
  <si>
    <t>$13,011,806</t>
  </si>
  <si>
    <t>-15.3%</t>
  </si>
  <si>
    <t>-$736,628</t>
  </si>
  <si>
    <t>Q-000009880</t>
  </si>
  <si>
    <t>Acct-201403</t>
  </si>
  <si>
    <t>$12,782,137</t>
  </si>
  <si>
    <t>-22.3%</t>
  </si>
  <si>
    <t>-$1,053,320</t>
  </si>
  <si>
    <t>Q-000001755</t>
  </si>
  <si>
    <t>Acct-058430</t>
  </si>
  <si>
    <t>$12,706,362</t>
  </si>
  <si>
    <t>-8.4%</t>
  </si>
  <si>
    <t>-$393,945</t>
  </si>
  <si>
    <t>Q-000001411</t>
  </si>
  <si>
    <t>Acct-122168</t>
  </si>
  <si>
    <t>$12,567,749</t>
  </si>
  <si>
    <t>23.2%</t>
  </si>
  <si>
    <t>$1,077,915</t>
  </si>
  <si>
    <t>Q-000010633</t>
  </si>
  <si>
    <t>Acct-176419</t>
  </si>
  <si>
    <t>$12,154,931</t>
  </si>
  <si>
    <t>1.3%</t>
  </si>
  <si>
    <t>$59,290</t>
  </si>
  <si>
    <t>Q-000013798</t>
  </si>
  <si>
    <t>Acct-106373</t>
  </si>
  <si>
    <t>$11,654,026</t>
  </si>
  <si>
    <t>18.1%</t>
  </si>
  <si>
    <t>$779,052</t>
  </si>
  <si>
    <t>Q-000010069</t>
  </si>
  <si>
    <t>Acct-070297</t>
  </si>
  <si>
    <t>$11,489,319</t>
  </si>
  <si>
    <t>15.7%</t>
  </si>
  <si>
    <t>$665,721</t>
  </si>
  <si>
    <t>Q-000013273</t>
  </si>
  <si>
    <t>Acct-130561</t>
  </si>
  <si>
    <t>$11,410,414</t>
  </si>
  <si>
    <t>27.0%</t>
  </si>
  <si>
    <t>$1,136,772</t>
  </si>
  <si>
    <t>Q-000007138</t>
  </si>
  <si>
    <t>Acct-039861</t>
  </si>
  <si>
    <t>$11,334,211</t>
  </si>
  <si>
    <t>18.2%</t>
  </si>
  <si>
    <t>$763,956</t>
  </si>
  <si>
    <t>Q-000005723</t>
  </si>
  <si>
    <t>Acct-178920</t>
  </si>
  <si>
    <t>$11,250,338</t>
  </si>
  <si>
    <t>16.4%</t>
  </si>
  <si>
    <t>$680,975</t>
  </si>
  <si>
    <t>Q-000001338</t>
  </si>
  <si>
    <t>Acct-100033</t>
  </si>
  <si>
    <t>$11,225,300</t>
  </si>
  <si>
    <t>17.8%</t>
  </si>
  <si>
    <t>$739,607</t>
  </si>
  <si>
    <t>Q-000009264</t>
  </si>
  <si>
    <t>Acct-188657</t>
  </si>
  <si>
    <t>$11,173,578</t>
  </si>
  <si>
    <t>22.0%</t>
  </si>
  <si>
    <t>$908,792</t>
  </si>
  <si>
    <t>Assumptions and caveats</t>
  </si>
  <si>
    <t>Watch</t>
  </si>
  <si>
    <t>!</t>
  </si>
  <si>
    <t>At 25% discount there is a 100% chance the deal actually costs you money to deliver even if you win it.</t>
  </si>
  <si>
    <t>Assumed</t>
  </si>
  <si>
    <t>List value $20,911,979,419; cost to deliver $18,937,406,936 at the 9.4% standard margin your file implies, plus $656,121,405 of consumption effects on top, giving a total cost base of $19,593,528,342 and an effective 6.3% margin once those effects are included.</t>
  </si>
  <si>
    <t>Consumption effects: 0.2% of value is consumed as unmetered burst you still pay for; 4 months of rollover defers revenue.</t>
  </si>
  <si>
    <t>Win probability curve: from 35.0% at full price toward a ceiling of 95.0%, halfway at 16.6% discount (source: 20000 of your past deals).</t>
  </si>
  <si>
    <t>Win probability uncertainty: plus or minus 5 points.</t>
  </si>
  <si>
    <t>Cost volatility: plus or minus 6% of cost.</t>
  </si>
  <si>
    <t>Margin floor: 12.0%.</t>
  </si>
  <si>
    <t>Two discounts are treated as giving the same answer when the gap between their expected profits is smaller than twice the model's own margin of error at both discounts added together (about $38.00M at the best one), or smaller than 1% of the best profit - whichever is larger.</t>
  </si>
  <si>
    <t>The range where the answer is the same is 0%, taken from the 17 discount levels we tested.</t>
  </si>
  <si>
    <t>10,000 simulations per discount level; seed 42 (re-running gives identical numbers).</t>
  </si>
  <si>
    <t>Deal / quote ID -&gt; your 'deal_id' column</t>
  </si>
  <si>
    <t>Customer name -&gt; your 'customer' column</t>
  </si>
  <si>
    <t>Deal value (list price) -&gt; your 'deal_value' column</t>
  </si>
  <si>
    <t>Cost to deliver -&gt; your 'cost' column</t>
  </si>
  <si>
    <t>Standard margin (%) -&gt; your 'margin_pct' column</t>
  </si>
  <si>
    <t>Discount given (%) -&gt; your 'discount_pct' column</t>
  </si>
  <si>
    <t>Won? (1/0) -&gt; your 'won' column</t>
  </si>
  <si>
    <t>Hit a consumption tier accelerator -&gt; your 'tier_accelerator_hit' column</t>
  </si>
  <si>
    <t>Unmetered burst used -&gt; your 'burst_allowance_pct' column</t>
  </si>
  <si>
    <t>Rollover window -&gt; your 'rollover_window_months' column</t>
  </si>
  <si>
    <t>Time</t>
  </si>
  <si>
    <t>Phase</t>
  </si>
  <si>
    <t>What happened</t>
  </si>
  <si>
    <t>Technical detail</t>
  </si>
  <si>
    <t>0.00s</t>
  </si>
  <si>
    <t>prepare</t>
  </si>
  <si>
    <t>Opening your file…</t>
  </si>
  <si>
    <t>Found 20,000 rows and 21 columns.</t>
  </si>
  <si>
    <t>source: fx_uc1_deals.csv</t>
  </si>
  <si>
    <t>You chose 'deal_id' for 'Deal / quote ID'.</t>
  </si>
  <si>
    <t>You chose 'customer' for 'Customer name'.</t>
  </si>
  <si>
    <t>You chose 'deal_value' for 'Deal value (list price)'.</t>
  </si>
  <si>
    <t>You chose 'cost' for 'Cost to deliver'.</t>
  </si>
  <si>
    <t>You chose 'margin_pct' for 'Standard margin (%)'.</t>
  </si>
  <si>
    <t>You chose 'discount_pct' for 'Discount given (%)'.</t>
  </si>
  <si>
    <t>You chose 'won' for 'Won? (1/0)'.</t>
  </si>
  <si>
    <t>You chose 'tier_accelerator_hit' for 'Hit a consumption tier accelerator'.</t>
  </si>
  <si>
    <t>You chose 'burst_allowance_pct' for 'Unmetered burst used'.</t>
  </si>
  <si>
    <t>You chose 'rollover_window_months' for 'Rollover window'.</t>
  </si>
  <si>
    <t>mapping used</t>
  </si>
  <si>
    <t>0.67s</t>
  </si>
  <si>
    <t>Read 20,000 records into the model.</t>
  </si>
  <si>
    <t>simulate</t>
  </si>
  <si>
    <t>Running the simulation…</t>
  </si>
  <si>
    <t>0.68s</t>
  </si>
  <si>
    <t>read</t>
  </si>
  <si>
    <t>Reading the deal you gave us...</t>
  </si>
  <si>
    <t>0.69s</t>
  </si>
  <si>
    <t>Found 20000 deal(s) worth $20,911.98M at an average 9.4% margin.</t>
  </si>
  <si>
    <t>weighted by deal size; total list value 20,911,979,419; Your margin column is written as percentages, so 40 means 40% and 0.5 means half a percent.</t>
  </si>
  <si>
    <t>Cost to deliver is about $18,937.41M.</t>
  </si>
  <si>
    <t>list value 20,911,979,419 x (1 - 0.094)</t>
  </si>
  <si>
    <t>0.70s</t>
  </si>
  <si>
    <t>Added the consumption effects from your file: $656.12M of extra cost to serve, taking the cost base to $19,593.53M.</t>
  </si>
  <si>
    <t>Working out how much a discount really moves the buyer...</t>
  </si>
  <si>
    <t>0.94s</t>
  </si>
  <si>
    <t>Learned the buyer's behaviour from 20000 past deals (they flip hardest around 16.6% discount).</t>
  </si>
  <si>
    <t>fitted logistic: d50=16.57, steepness=4.89</t>
  </si>
  <si>
    <t>Testing 17 discount levels, 10,000 outcomes each (170,000 scenarios in total)...</t>
  </si>
  <si>
    <t>each scenario asks: do we win, and what do we keep if we do?</t>
  </si>
  <si>
    <t>Simulated 11% of the discount levels...</t>
  </si>
  <si>
    <t>Simulated 23% of the discount levels...</t>
  </si>
  <si>
    <t>Simulated 35% of the discount levels...</t>
  </si>
  <si>
    <t>Simulated 47% of the discount levels...</t>
  </si>
  <si>
    <t>0.95s</t>
  </si>
  <si>
    <t>Simulated 58% of the discount levels...</t>
  </si>
  <si>
    <t>Simulated 70% of the discount levels...</t>
  </si>
  <si>
    <t>Simulated 82% of the discount levels...</t>
  </si>
  <si>
    <t>Simulated 94% of the discount levels...</t>
  </si>
  <si>
    <t>Simulated 100% of the discount levels...</t>
  </si>
  <si>
    <t>summarize</t>
  </si>
  <si>
    <t>All discount levels tested. Looking for the sweet spot...</t>
  </si>
  <si>
    <t>Checked how much the answer would wobble if we ran it again - the range where the answer is the same is 0%.</t>
  </si>
  <si>
    <t>tolerance 38,003,701 on a peak of 489,788,040</t>
  </si>
  <si>
    <t>0.96s</t>
  </si>
  <si>
    <t>Done. Best discount is 0% ($489.79M expected profit); the range where the answer is the same is 0%.</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</si>
</sst>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78350F"/>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s>
  <borders count="5">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11" fillId="4" borderId="4" xfId="0" applyFont="1" applyFill="1" applyBorder="1" applyAlignment="1">
      <alignment vertical="top" wrapText="1"/>
    </xf>
    <xf numFmtId="0" fontId="12" fillId="0" borderId="2" xfId="0" applyFont="1" applyBorder="1"/>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Where profit peaks</a:t>
            </a:r>
          </a:p>
        </c:rich>
      </c:tx>
      <c:layout/>
    </c:title>
    <c:plotArea>
      <c:layout/>
      <c:lineChart>
        <c:grouping val="standard"/>
        <c:ser>
          <c:idx val="0"/>
          <c:order val="0"/>
          <c:tx>
            <c:strRef>
              <c:f>'Chart data'!$B$1</c:f>
              <c:strCache>
                <c:ptCount val="1"/>
                <c:pt idx="0">
                  <c:v>Expected profit</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data'!$B$2:$B$18</c:f>
              <c:numCache>
                <c:formatCode>General</c:formatCode>
                <c:ptCount val="17"/>
                <c:pt idx="0">
                  <c:v>489788039.66</c:v>
                </c:pt>
                <c:pt idx="1">
                  <c:v>298003746.67</c:v>
                </c:pt>
                <c:pt idx="2">
                  <c:v>107035516.59</c:v>
                </c:pt>
                <c:pt idx="3">
                  <c:v>-108229561.94</c:v>
                </c:pt>
                <c:pt idx="4">
                  <c:v>-359508474.9</c:v>
                </c:pt>
                <c:pt idx="5">
                  <c:v>-665850776.6900001</c:v>
                </c:pt>
                <c:pt idx="6">
                  <c:v>-1098691256.77</c:v>
                </c:pt>
                <c:pt idx="7">
                  <c:v>-1562362932.69</c:v>
                </c:pt>
                <c:pt idx="8">
                  <c:v>-2143707264.03</c:v>
                </c:pt>
                <c:pt idx="9">
                  <c:v>-2759835270.32</c:v>
                </c:pt>
                <c:pt idx="10">
                  <c:v>-3345336695.14</c:v>
                </c:pt>
                <c:pt idx="11">
                  <c:v>-3950806161.22</c:v>
                </c:pt>
                <c:pt idx="12">
                  <c:v>-4556191988.63</c:v>
                </c:pt>
                <c:pt idx="13">
                  <c:v>-5082629649.07</c:v>
                </c:pt>
                <c:pt idx="14">
                  <c:v>-5631830289.95</c:v>
                </c:pt>
                <c:pt idx="15">
                  <c:v>-6104155756.51</c:v>
                </c:pt>
                <c:pt idx="16">
                  <c:v>-6637161913.06</c:v>
                </c:pt>
              </c:numCache>
            </c:numRef>
          </c:val>
        </c:ser>
        <c:ser>
          <c:idx val="1"/>
          <c:order val="1"/>
          <c:tx>
            <c:strRef>
              <c:f>'Chart data'!$C$1</c:f>
              <c:strCache>
                <c:ptCount val="1"/>
                <c:pt idx="0">
                  <c:v>Profit if the deal closes</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data'!$C$2:$C$18</c:f>
              <c:numCache>
                <c:formatCode>General</c:formatCode>
                <c:ptCount val="17"/>
                <c:pt idx="0">
                  <c:v>1316300252.03</c:v>
                </c:pt>
                <c:pt idx="1">
                  <c:v>806594812.6900001</c:v>
                </c:pt>
                <c:pt idx="2">
                  <c:v>271925292.02</c:v>
                </c:pt>
                <c:pt idx="3">
                  <c:v>-257233422.19</c:v>
                </c:pt>
                <c:pt idx="4">
                  <c:v>-777711373.0599999</c:v>
                </c:pt>
                <c:pt idx="5">
                  <c:v>-1260773236.93</c:v>
                </c:pt>
                <c:pt idx="6">
                  <c:v>-1811949780.67</c:v>
                </c:pt>
                <c:pt idx="7">
                  <c:v>-2312040616.55</c:v>
                </c:pt>
                <c:pt idx="8">
                  <c:v>-2849981802.74</c:v>
                </c:pt>
                <c:pt idx="9">
                  <c:v>-3382134824.86</c:v>
                </c:pt>
                <c:pt idx="10">
                  <c:v>-3911588990.55</c:v>
                </c:pt>
                <c:pt idx="11">
                  <c:v>-4442147949.48</c:v>
                </c:pt>
                <c:pt idx="12">
                  <c:v>-4982764418.77</c:v>
                </c:pt>
                <c:pt idx="13">
                  <c:v>-5484029347.55</c:v>
                </c:pt>
                <c:pt idx="14">
                  <c:v>-6019753538.28</c:v>
                </c:pt>
                <c:pt idx="15">
                  <c:v>-6505024880.35</c:v>
                </c:pt>
                <c:pt idx="16">
                  <c:v>-7047045555.47</c:v>
                </c:pt>
              </c:numCache>
            </c:numRef>
          </c:val>
        </c:ser>
        <c:ser>
          <c:idx val="2"/>
          <c:order val="2"/>
          <c:tx>
            <c:strRef>
              <c:f>'Chart data'!$D$1</c:f>
              <c:strCache>
                <c:ptCount val="1"/>
                <c:pt idx="0">
                  <c:v>The best answer, minus the model's margin of error</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data'!$D$2:$D$18</c:f>
              <c:numCache>
                <c:formatCode>General</c:formatCode>
                <c:ptCount val="17"/>
                <c:pt idx="0">
                  <c:v>451784338.99</c:v>
                </c:pt>
                <c:pt idx="1">
                  <c:v>451784338.99</c:v>
                </c:pt>
                <c:pt idx="2">
                  <c:v>451784338.99</c:v>
                </c:pt>
                <c:pt idx="3">
                  <c:v>451784338.99</c:v>
                </c:pt>
                <c:pt idx="4">
                  <c:v>451784338.99</c:v>
                </c:pt>
                <c:pt idx="5">
                  <c:v>451784338.99</c:v>
                </c:pt>
                <c:pt idx="6">
                  <c:v>451784338.99</c:v>
                </c:pt>
                <c:pt idx="7">
                  <c:v>451784338.99</c:v>
                </c:pt>
                <c:pt idx="8">
                  <c:v>451784338.99</c:v>
                </c:pt>
                <c:pt idx="9">
                  <c:v>451784338.99</c:v>
                </c:pt>
                <c:pt idx="10">
                  <c:v>451784338.99</c:v>
                </c:pt>
                <c:pt idx="11">
                  <c:v>451784338.99</c:v>
                </c:pt>
                <c:pt idx="12">
                  <c:v>451784338.99</c:v>
                </c:pt>
                <c:pt idx="13">
                  <c:v>451784338.99</c:v>
                </c:pt>
                <c:pt idx="14">
                  <c:v>451784338.99</c:v>
                </c:pt>
                <c:pt idx="15">
                  <c:v>451784338.99</c:v>
                </c:pt>
                <c:pt idx="16">
                  <c:v>451784338.99</c:v>
                </c:pt>
              </c:numCache>
            </c:numRef>
          </c:val>
        </c:ser>
        <c:marker val="1"/>
        <c:axId val="50010001"/>
        <c:axId val="50010002"/>
      </c:lineChart>
      <c:catAx>
        <c:axId val="50010001"/>
        <c:scaling>
          <c:orientation val="minMax"/>
        </c:scaling>
        <c:axPos val="b"/>
        <c:title>
          <c:tx>
            <c:rich>
              <a:bodyPr/>
              <a:lstStyle/>
              <a:p>
                <a:pPr>
                  <a:defRPr/>
                </a:pPr>
                <a:r>
                  <a:rPr lang="en-US"/>
                  <a:t>Discount offered</a:t>
                </a:r>
              </a:p>
            </c:rich>
          </c:tx>
          <c:layout/>
        </c:title>
        <c:numFmt formatCode="General" sourceLinked="1"/>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Expected profit</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the extra discount buys you</a:t>
            </a:r>
          </a:p>
        </c:rich>
      </c:tx>
      <c:layout/>
    </c:title>
    <c:plotArea>
      <c:layout/>
      <c:lineChart>
        <c:grouping val="standard"/>
        <c:ser>
          <c:idx val="0"/>
          <c:order val="0"/>
          <c:tx>
            <c:strRef>
              <c:f>'Chart data'!$G$1</c:f>
              <c:strCache>
                <c:ptCount val="1"/>
                <c:pt idx="0">
                  <c:v>Chance of winning</c:v>
                </c:pt>
              </c:strCache>
            </c:strRef>
          </c:tx>
          <c:marker>
            <c:symbol val="none"/>
          </c:marker>
          <c:cat>
            <c:numRef>
              <c:f>'Chart data'!$F$2:$F$18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data'!$G$2:$G$18</c:f>
              <c:numCache>
                <c:formatCode>General</c:formatCode>
                <c:ptCount val="17"/>
                <c:pt idx="0">
                  <c:v>36.94</c:v>
                </c:pt>
                <c:pt idx="1">
                  <c:v>38.27</c:v>
                </c:pt>
                <c:pt idx="2">
                  <c:v>40.08</c:v>
                </c:pt>
                <c:pt idx="3">
                  <c:v>43.14</c:v>
                </c:pt>
                <c:pt idx="4">
                  <c:v>47.46</c:v>
                </c:pt>
                <c:pt idx="5">
                  <c:v>53.18</c:v>
                </c:pt>
                <c:pt idx="6">
                  <c:v>60.26</c:v>
                </c:pt>
                <c:pt idx="7">
                  <c:v>67.77</c:v>
                </c:pt>
                <c:pt idx="8">
                  <c:v>75.17</c:v>
                </c:pt>
                <c:pt idx="9">
                  <c:v>81.28</c:v>
                </c:pt>
                <c:pt idx="10">
                  <c:v>85.93000000000001</c:v>
                </c:pt>
                <c:pt idx="11">
                  <c:v>89.18000000000001</c:v>
                </c:pt>
                <c:pt idx="12">
                  <c:v>91.40000000000001</c:v>
                </c:pt>
                <c:pt idx="13">
                  <c:v>92.68000000000001</c:v>
                </c:pt>
                <c:pt idx="14">
                  <c:v>93.43000000000001</c:v>
                </c:pt>
                <c:pt idx="15">
                  <c:v>93.90000000000001</c:v>
                </c:pt>
                <c:pt idx="16">
                  <c:v>94.12</c:v>
                </c:pt>
              </c:numCache>
            </c:numRef>
          </c:val>
        </c:ser>
        <c:marker val="1"/>
        <c:axId val="50020001"/>
        <c:axId val="50020002"/>
      </c:lineChart>
      <c:catAx>
        <c:axId val="50020001"/>
        <c:scaling>
          <c:orientation val="minMax"/>
        </c:scaling>
        <c:axPos val="b"/>
        <c:title>
          <c:tx>
            <c:rich>
              <a:bodyPr/>
              <a:lstStyle/>
              <a:p>
                <a:pPr>
                  <a:defRPr/>
                </a:pPr>
                <a:r>
                  <a:rPr lang="en-US"/>
                  <a:t>Discount offered</a:t>
                </a:r>
              </a:p>
            </c:rich>
          </c:tx>
          <c:layout/>
        </c:title>
        <c:numFmt formatCode="General" sourceLinked="1"/>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Chance of winning</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range of outcomes at the best discount</a:t>
            </a:r>
          </a:p>
        </c:rich>
      </c:tx>
      <c:layout/>
    </c:title>
    <c:plotArea>
      <c:layout/>
      <c:barChart>
        <c:barDir val="col"/>
        <c:grouping val="clustered"/>
        <c:ser>
          <c:idx val="0"/>
          <c:order val="0"/>
          <c:tx>
            <c:strRef>
              <c:f>'Chart data'!$J$1</c:f>
              <c:strCache>
                <c:ptCount val="1"/>
                <c:pt idx="0">
                  <c:v>Profit outcomes</c:v>
                </c:pt>
              </c:strCache>
            </c:strRef>
          </c:tx>
          <c:cat>
            <c:strRef>
              <c:f>'Chart data'!$I$2:$I$31</c:f>
              <c:strCache>
                <c:ptCount val="30"/>
                <c:pt idx="0">
                  <c:v>-2,207,476,394.14</c:v>
                </c:pt>
                <c:pt idx="1">
                  <c:v>-1,942,986,426.22</c:v>
                </c:pt>
                <c:pt idx="2">
                  <c:v>-1,678,496,458.30</c:v>
                </c:pt>
                <c:pt idx="3">
                  <c:v>-1,414,006,490.38</c:v>
                </c:pt>
                <c:pt idx="4">
                  <c:v>-1,149,516,522.46</c:v>
                </c:pt>
                <c:pt idx="5">
                  <c:v>-885,026,554.54</c:v>
                </c:pt>
                <c:pt idx="6">
                  <c:v>-620,536,586.62</c:v>
                </c:pt>
                <c:pt idx="7">
                  <c:v>-356,046,618.70</c:v>
                </c:pt>
                <c:pt idx="8">
                  <c:v>-91,556,650.78</c:v>
                </c:pt>
                <c:pt idx="9">
                  <c:v>172,933,317.14</c:v>
                </c:pt>
                <c:pt idx="10">
                  <c:v>437,423,285.06</c:v>
                </c:pt>
                <c:pt idx="11">
                  <c:v>701,913,252.98</c:v>
                </c:pt>
                <c:pt idx="12">
                  <c:v>966,403,220.90</c:v>
                </c:pt>
                <c:pt idx="13">
                  <c:v>1,230,893,188.82</c:v>
                </c:pt>
                <c:pt idx="14">
                  <c:v>1,495,383,156.74</c:v>
                </c:pt>
                <c:pt idx="15">
                  <c:v>1,759,873,124.65</c:v>
                </c:pt>
                <c:pt idx="16">
                  <c:v>2,024,363,092.57</c:v>
                </c:pt>
                <c:pt idx="17">
                  <c:v>2,288,853,060.49</c:v>
                </c:pt>
                <c:pt idx="18">
                  <c:v>2,553,343,028.41</c:v>
                </c:pt>
                <c:pt idx="19">
                  <c:v>2,817,832,996.33</c:v>
                </c:pt>
                <c:pt idx="20">
                  <c:v>3,082,322,964.25</c:v>
                </c:pt>
                <c:pt idx="21">
                  <c:v>3,346,812,932.17</c:v>
                </c:pt>
                <c:pt idx="22">
                  <c:v>3,611,302,900.09</c:v>
                </c:pt>
                <c:pt idx="23">
                  <c:v>3,875,792,868.01</c:v>
                </c:pt>
                <c:pt idx="24">
                  <c:v>4,140,282,835.93</c:v>
                </c:pt>
                <c:pt idx="25">
                  <c:v>4,404,772,803.85</c:v>
                </c:pt>
                <c:pt idx="26">
                  <c:v>4,669,262,771.77</c:v>
                </c:pt>
                <c:pt idx="27">
                  <c:v>4,933,752,739.69</c:v>
                </c:pt>
                <c:pt idx="28">
                  <c:v>5,198,242,707.61</c:v>
                </c:pt>
                <c:pt idx="29">
                  <c:v>5,462,732,675.53</c:v>
                </c:pt>
              </c:strCache>
            </c:strRef>
          </c:cat>
          <c:val>
            <c:numRef>
              <c:f>'Chart data'!$J$2:$J$31</c:f>
              <c:numCache>
                <c:formatCode>General</c:formatCode>
                <c:ptCount val="30"/>
                <c:pt idx="0">
                  <c:v>2</c:v>
                </c:pt>
                <c:pt idx="1">
                  <c:v>1</c:v>
                </c:pt>
                <c:pt idx="2">
                  <c:v>1</c:v>
                </c:pt>
                <c:pt idx="3">
                  <c:v>5</c:v>
                </c:pt>
                <c:pt idx="4">
                  <c:v>6</c:v>
                </c:pt>
                <c:pt idx="5">
                  <c:v>9</c:v>
                </c:pt>
                <c:pt idx="6">
                  <c:v>17</c:v>
                </c:pt>
                <c:pt idx="7">
                  <c:v>27</c:v>
                </c:pt>
                <c:pt idx="8">
                  <c:v>1311</c:v>
                </c:pt>
                <c:pt idx="9">
                  <c:v>35</c:v>
                </c:pt>
                <c:pt idx="10">
                  <c:v>50</c:v>
                </c:pt>
                <c:pt idx="11">
                  <c:v>50</c:v>
                </c:pt>
                <c:pt idx="12">
                  <c:v>65</c:v>
                </c:pt>
                <c:pt idx="13">
                  <c:v>67</c:v>
                </c:pt>
                <c:pt idx="14">
                  <c:v>69</c:v>
                </c:pt>
                <c:pt idx="15">
                  <c:v>62</c:v>
                </c:pt>
                <c:pt idx="16">
                  <c:v>43</c:v>
                </c:pt>
                <c:pt idx="17">
                  <c:v>47</c:v>
                </c:pt>
                <c:pt idx="18">
                  <c:v>45</c:v>
                </c:pt>
                <c:pt idx="19">
                  <c:v>33</c:v>
                </c:pt>
                <c:pt idx="20">
                  <c:v>17</c:v>
                </c:pt>
                <c:pt idx="21">
                  <c:v>14</c:v>
                </c:pt>
                <c:pt idx="22">
                  <c:v>11</c:v>
                </c:pt>
                <c:pt idx="23">
                  <c:v>5</c:v>
                </c:pt>
                <c:pt idx="24">
                  <c:v>5</c:v>
                </c:pt>
                <c:pt idx="25">
                  <c:v>0</c:v>
                </c:pt>
                <c:pt idx="26">
                  <c:v>2</c:v>
                </c:pt>
                <c:pt idx="27">
                  <c:v>0</c:v>
                </c:pt>
                <c:pt idx="28">
                  <c:v>0</c:v>
                </c:pt>
                <c:pt idx="29">
                  <c:v>1</c:v>
                </c:pt>
              </c:numCache>
            </c:numRef>
          </c:val>
        </c:ser>
        <c:axId val="50030001"/>
        <c:axId val="50030002"/>
      </c:barChart>
      <c:catAx>
        <c:axId val="50030001"/>
        <c:scaling>
          <c:orientation val="minMax"/>
        </c:scaling>
        <c:axPos val="b"/>
        <c:title>
          <c:tx>
            <c:rich>
              <a:bodyPr/>
              <a:lstStyle/>
              <a:p>
                <a:pPr>
                  <a:defRPr/>
                </a:pPr>
                <a:r>
                  <a:rPr lang="en-US"/>
                  <a:t>Profit from the deal</a:t>
                </a:r>
              </a:p>
            </c:rich>
          </c:tx>
          <c:layout/>
        </c:title>
        <c:tickLblPos val="nextTo"/>
        <c:crossAx val="50030002"/>
        <c:crosses val="autoZero"/>
        <c:auto val="1"/>
        <c:lblAlgn val="ctr"/>
        <c:lblOffset val="100"/>
      </c:catAx>
      <c:valAx>
        <c:axId val="50030002"/>
        <c:scaling>
          <c:orientation val="minMax"/>
        </c:scaling>
        <c:axPos val="l"/>
        <c:majorGridlines/>
        <c:title>
          <c:tx>
            <c:rich>
              <a:bodyPr/>
              <a:lstStyle/>
              <a:p>
                <a:pPr>
                  <a:defRPr/>
                </a:pPr>
                <a:r>
                  <a:rPr lang="en-US"/>
                  <a:t>How often</a:t>
                </a:r>
              </a:p>
            </c:rich>
          </c:tx>
          <c:layout/>
        </c:title>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9" t="s">
        <v>25</v>
      </c>
      <c r="B18" s="10" t="s">
        <v>26</v>
      </c>
      <c r="C18" s="9" t="s">
        <v>27</v>
      </c>
      <c r="D18" s="9" t="s">
        <v>28</v>
      </c>
    </row>
    <row r="19" spans="1:4">
      <c r="A19" s="9" t="s">
        <v>29</v>
      </c>
      <c r="B19" s="10" t="s">
        <v>22</v>
      </c>
      <c r="C19" s="9" t="s">
        <v>30</v>
      </c>
      <c r="D19" s="9" t="s">
        <v>31</v>
      </c>
    </row>
    <row r="20" spans="1:4">
      <c r="A20" s="11" t="s">
        <v>32</v>
      </c>
      <c r="B20" s="12" t="s">
        <v>33</v>
      </c>
      <c r="C20" s="11" t="s">
        <v>34</v>
      </c>
      <c r="D20" s="11" t="s">
        <v>35</v>
      </c>
    </row>
    <row r="21" spans="1:4">
      <c r="A21" s="13" t="s">
        <v>36</v>
      </c>
      <c r="B21" s="14" t="s">
        <v>37</v>
      </c>
      <c r="C21" s="13" t="s">
        <v>38</v>
      </c>
      <c r="D21" s="13" t="s">
        <v>39</v>
      </c>
    </row>
    <row r="22" spans="1:4">
      <c r="A22" s="13" t="s">
        <v>40</v>
      </c>
      <c r="B22" s="14" t="s">
        <v>41</v>
      </c>
      <c r="C22" s="13" t="s">
        <v>42</v>
      </c>
      <c r="D22" s="13" t="s">
        <v>28</v>
      </c>
    </row>
    <row r="23" spans="1:4">
      <c r="A23" s="15" t="s">
        <v>43</v>
      </c>
      <c r="B23" s="16" t="s">
        <v>44</v>
      </c>
      <c r="C23" s="15" t="s">
        <v>45</v>
      </c>
      <c r="D23" s="15" t="s">
        <v>28</v>
      </c>
    </row>
    <row r="24" spans="1:4">
      <c r="A24" s="11" t="s">
        <v>46</v>
      </c>
      <c r="B24" s="12" t="s">
        <v>47</v>
      </c>
      <c r="C24" s="11" t="s">
        <v>48</v>
      </c>
      <c r="D24" s="11" t="s">
        <v>28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22.7109375" customWidth="1"/>
    <col min="2" max="2" width="96.7109375" customWidth="1"/>
  </cols>
  <sheetData>
    <row r="1" spans="1:2">
      <c r="A1" s="2" t="s">
        <v>49</v>
      </c>
    </row>
    <row r="2" spans="1:2" ht="34" customHeight="1">
      <c r="A2" s="5" t="s">
        <v>2</v>
      </c>
      <c r="B2" s="5"/>
    </row>
    <row r="4" spans="1:2">
      <c r="A4" s="6" t="s">
        <v>50</v>
      </c>
      <c r="B4" s="3" t="s">
        <v>51</v>
      </c>
    </row>
    <row r="5" spans="1:2">
      <c r="A5" s="6" t="s">
        <v>52</v>
      </c>
      <c r="B5" s="3" t="s">
        <v>53</v>
      </c>
    </row>
    <row r="6" spans="1:2">
      <c r="A6" s="6" t="s">
        <v>54</v>
      </c>
      <c r="B6" s="3" t="s">
        <v>51</v>
      </c>
    </row>
    <row r="8" spans="1:2">
      <c r="A8" s="4" t="s">
        <v>55</v>
      </c>
    </row>
    <row r="9" spans="1:2">
      <c r="A9" s="6" t="s">
        <v>56</v>
      </c>
      <c r="B9" s="3" t="s">
        <v>57</v>
      </c>
    </row>
    <row r="10" spans="1:2">
      <c r="A10" s="6" t="s">
        <v>58</v>
      </c>
      <c r="B10" s="3" t="s">
        <v>59</v>
      </c>
    </row>
    <row r="11" spans="1:2">
      <c r="A11" s="6" t="s">
        <v>60</v>
      </c>
      <c r="B11" s="3" t="s">
        <v>61</v>
      </c>
    </row>
    <row r="12" spans="1:2">
      <c r="A12" s="6" t="s">
        <v>62</v>
      </c>
      <c r="B12" s="3" t="s">
        <v>63</v>
      </c>
    </row>
    <row r="14" spans="1:2">
      <c r="A14" s="4" t="s">
        <v>64</v>
      </c>
    </row>
    <row r="15" spans="1:2">
      <c r="A15" s="6" t="s">
        <v>65</v>
      </c>
      <c r="B15" s="3" t="s">
        <v>66</v>
      </c>
    </row>
    <row r="16" spans="1:2">
      <c r="A16" s="6" t="s">
        <v>67</v>
      </c>
      <c r="B16" s="3" t="s">
        <v>68</v>
      </c>
    </row>
    <row r="17" spans="1:2">
      <c r="A17" s="6" t="s">
        <v>69</v>
      </c>
      <c r="B17" s="3" t="s">
        <v>70</v>
      </c>
    </row>
    <row r="19" spans="1:2">
      <c r="A19" s="4" t="s">
        <v>71</v>
      </c>
    </row>
    <row r="20" spans="1:2">
      <c r="A20" s="6"/>
      <c r="B20" s="3" t="s">
        <v>72</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1"/>
  <sheetViews>
    <sheetView showGridLines="0" workbookViewId="0"/>
  </sheetViews>
  <sheetFormatPr defaultRowHeight="15"/>
  <cols>
    <col min="1" max="4" width="16.7109375" customWidth="1"/>
    <col min="6" max="7" width="16.7109375" customWidth="1"/>
    <col min="9" max="10" width="16.7109375" customWidth="1"/>
  </cols>
  <sheetData>
    <row r="1" spans="1:10">
      <c r="A1" s="8" t="s">
        <v>74</v>
      </c>
      <c r="B1" s="8" t="s">
        <v>92</v>
      </c>
      <c r="C1" s="8" t="s">
        <v>93</v>
      </c>
      <c r="D1" s="8" t="s">
        <v>94</v>
      </c>
      <c r="F1" s="8" t="s">
        <v>96</v>
      </c>
      <c r="G1" s="8" t="s">
        <v>97</v>
      </c>
      <c r="I1" s="8" t="s">
        <v>99</v>
      </c>
      <c r="J1" s="8" t="s">
        <v>130</v>
      </c>
    </row>
    <row r="2" spans="1:10">
      <c r="A2" s="17" t="s">
        <v>75</v>
      </c>
      <c r="B2" s="17">
        <v>489788039.66</v>
      </c>
      <c r="C2" s="17">
        <v>1316300252.03</v>
      </c>
      <c r="D2" s="17">
        <v>451784338.99</v>
      </c>
      <c r="F2" s="17" t="s">
        <v>75</v>
      </c>
      <c r="G2" s="17">
        <v>36.94</v>
      </c>
      <c r="I2" s="17" t="s">
        <v>100</v>
      </c>
      <c r="J2" s="17">
        <v>2</v>
      </c>
    </row>
    <row r="3" spans="1:10">
      <c r="A3" s="17" t="s">
        <v>76</v>
      </c>
      <c r="B3" s="17">
        <v>298003746.67</v>
      </c>
      <c r="C3" s="17">
        <v>806594812.6900001</v>
      </c>
      <c r="D3" s="17">
        <v>451784338.99</v>
      </c>
      <c r="F3" s="17" t="s">
        <v>76</v>
      </c>
      <c r="G3" s="17">
        <v>38.27</v>
      </c>
      <c r="I3" s="17" t="s">
        <v>101</v>
      </c>
      <c r="J3" s="17">
        <v>1</v>
      </c>
    </row>
    <row r="4" spans="1:10">
      <c r="A4" s="17" t="s">
        <v>77</v>
      </c>
      <c r="B4" s="17">
        <v>107035516.59</v>
      </c>
      <c r="C4" s="17">
        <v>271925292.02</v>
      </c>
      <c r="D4" s="17">
        <v>451784338.99</v>
      </c>
      <c r="F4" s="17" t="s">
        <v>77</v>
      </c>
      <c r="G4" s="17">
        <v>40.08</v>
      </c>
      <c r="I4" s="17" t="s">
        <v>102</v>
      </c>
      <c r="J4" s="17">
        <v>1</v>
      </c>
    </row>
    <row r="5" spans="1:10">
      <c r="A5" s="17" t="s">
        <v>78</v>
      </c>
      <c r="B5" s="17">
        <v>-108229561.94</v>
      </c>
      <c r="C5" s="17">
        <v>-257233422.19</v>
      </c>
      <c r="D5" s="17">
        <v>451784338.99</v>
      </c>
      <c r="F5" s="17" t="s">
        <v>78</v>
      </c>
      <c r="G5" s="17">
        <v>43.14</v>
      </c>
      <c r="I5" s="17" t="s">
        <v>103</v>
      </c>
      <c r="J5" s="17">
        <v>5</v>
      </c>
    </row>
    <row r="6" spans="1:10">
      <c r="A6" s="17" t="s">
        <v>79</v>
      </c>
      <c r="B6" s="17">
        <v>-359508474.9</v>
      </c>
      <c r="C6" s="17">
        <v>-777711373.0599999</v>
      </c>
      <c r="D6" s="17">
        <v>451784338.99</v>
      </c>
      <c r="F6" s="17" t="s">
        <v>79</v>
      </c>
      <c r="G6" s="17">
        <v>47.46</v>
      </c>
      <c r="I6" s="17" t="s">
        <v>104</v>
      </c>
      <c r="J6" s="17">
        <v>6</v>
      </c>
    </row>
    <row r="7" spans="1:10">
      <c r="A7" s="17" t="s">
        <v>80</v>
      </c>
      <c r="B7" s="17">
        <v>-665850776.6900001</v>
      </c>
      <c r="C7" s="17">
        <v>-1260773236.93</v>
      </c>
      <c r="D7" s="17">
        <v>451784338.99</v>
      </c>
      <c r="F7" s="17" t="s">
        <v>80</v>
      </c>
      <c r="G7" s="17">
        <v>53.18</v>
      </c>
      <c r="I7" s="17" t="s">
        <v>105</v>
      </c>
      <c r="J7" s="17">
        <v>9</v>
      </c>
    </row>
    <row r="8" spans="1:10">
      <c r="A8" s="17" t="s">
        <v>81</v>
      </c>
      <c r="B8" s="17">
        <v>-1098691256.77</v>
      </c>
      <c r="C8" s="17">
        <v>-1811949780.67</v>
      </c>
      <c r="D8" s="17">
        <v>451784338.99</v>
      </c>
      <c r="F8" s="17" t="s">
        <v>81</v>
      </c>
      <c r="G8" s="17">
        <v>60.26</v>
      </c>
      <c r="I8" s="17" t="s">
        <v>106</v>
      </c>
      <c r="J8" s="17">
        <v>17</v>
      </c>
    </row>
    <row r="9" spans="1:10">
      <c r="A9" s="17" t="s">
        <v>82</v>
      </c>
      <c r="B9" s="17">
        <v>-1562362932.69</v>
      </c>
      <c r="C9" s="17">
        <v>-2312040616.55</v>
      </c>
      <c r="D9" s="17">
        <v>451784338.99</v>
      </c>
      <c r="F9" s="17" t="s">
        <v>82</v>
      </c>
      <c r="G9" s="17">
        <v>67.77</v>
      </c>
      <c r="I9" s="17" t="s">
        <v>107</v>
      </c>
      <c r="J9" s="17">
        <v>27</v>
      </c>
    </row>
    <row r="10" spans="1:10">
      <c r="A10" s="17" t="s">
        <v>83</v>
      </c>
      <c r="B10" s="17">
        <v>-2143707264.03</v>
      </c>
      <c r="C10" s="17">
        <v>-2849981802.74</v>
      </c>
      <c r="D10" s="17">
        <v>451784338.99</v>
      </c>
      <c r="F10" s="17" t="s">
        <v>83</v>
      </c>
      <c r="G10" s="17">
        <v>75.17</v>
      </c>
      <c r="I10" s="17" t="s">
        <v>108</v>
      </c>
      <c r="J10" s="17">
        <v>1311</v>
      </c>
    </row>
    <row r="11" spans="1:10">
      <c r="A11" s="17" t="s">
        <v>84</v>
      </c>
      <c r="B11" s="17">
        <v>-2759835270.32</v>
      </c>
      <c r="C11" s="17">
        <v>-3382134824.86</v>
      </c>
      <c r="D11" s="17">
        <v>451784338.99</v>
      </c>
      <c r="F11" s="17" t="s">
        <v>84</v>
      </c>
      <c r="G11" s="17">
        <v>81.28</v>
      </c>
      <c r="I11" s="17" t="s">
        <v>109</v>
      </c>
      <c r="J11" s="17">
        <v>35</v>
      </c>
    </row>
    <row r="12" spans="1:10">
      <c r="A12" s="17" t="s">
        <v>85</v>
      </c>
      <c r="B12" s="17">
        <v>-3345336695.14</v>
      </c>
      <c r="C12" s="17">
        <v>-3911588990.55</v>
      </c>
      <c r="D12" s="17">
        <v>451784338.99</v>
      </c>
      <c r="F12" s="17" t="s">
        <v>85</v>
      </c>
      <c r="G12" s="17">
        <v>85.93000000000001</v>
      </c>
      <c r="I12" s="17" t="s">
        <v>110</v>
      </c>
      <c r="J12" s="17">
        <v>50</v>
      </c>
    </row>
    <row r="13" spans="1:10">
      <c r="A13" s="17" t="s">
        <v>86</v>
      </c>
      <c r="B13" s="17">
        <v>-3950806161.22</v>
      </c>
      <c r="C13" s="17">
        <v>-4442147949.48</v>
      </c>
      <c r="D13" s="17">
        <v>451784338.99</v>
      </c>
      <c r="F13" s="17" t="s">
        <v>86</v>
      </c>
      <c r="G13" s="17">
        <v>89.18000000000001</v>
      </c>
      <c r="I13" s="17" t="s">
        <v>111</v>
      </c>
      <c r="J13" s="17">
        <v>50</v>
      </c>
    </row>
    <row r="14" spans="1:10">
      <c r="A14" s="17" t="s">
        <v>87</v>
      </c>
      <c r="B14" s="17">
        <v>-4556191988.63</v>
      </c>
      <c r="C14" s="17">
        <v>-4982764418.77</v>
      </c>
      <c r="D14" s="17">
        <v>451784338.99</v>
      </c>
      <c r="F14" s="17" t="s">
        <v>87</v>
      </c>
      <c r="G14" s="17">
        <v>91.40000000000001</v>
      </c>
      <c r="I14" s="17" t="s">
        <v>112</v>
      </c>
      <c r="J14" s="17">
        <v>65</v>
      </c>
    </row>
    <row r="15" spans="1:10">
      <c r="A15" s="17" t="s">
        <v>88</v>
      </c>
      <c r="B15" s="17">
        <v>-5082629649.07</v>
      </c>
      <c r="C15" s="17">
        <v>-5484029347.55</v>
      </c>
      <c r="D15" s="17">
        <v>451784338.99</v>
      </c>
      <c r="F15" s="17" t="s">
        <v>88</v>
      </c>
      <c r="G15" s="17">
        <v>92.68000000000001</v>
      </c>
      <c r="I15" s="17" t="s">
        <v>113</v>
      </c>
      <c r="J15" s="17">
        <v>67</v>
      </c>
    </row>
    <row r="16" spans="1:10">
      <c r="A16" s="17" t="s">
        <v>89</v>
      </c>
      <c r="B16" s="17">
        <v>-5631830289.95</v>
      </c>
      <c r="C16" s="17">
        <v>-6019753538.28</v>
      </c>
      <c r="D16" s="17">
        <v>451784338.99</v>
      </c>
      <c r="F16" s="17" t="s">
        <v>89</v>
      </c>
      <c r="G16" s="17">
        <v>93.43000000000001</v>
      </c>
      <c r="I16" s="17" t="s">
        <v>114</v>
      </c>
      <c r="J16" s="17">
        <v>69</v>
      </c>
    </row>
    <row r="17" spans="1:10">
      <c r="A17" s="17" t="s">
        <v>90</v>
      </c>
      <c r="B17" s="17">
        <v>-6104155756.51</v>
      </c>
      <c r="C17" s="17">
        <v>-6505024880.35</v>
      </c>
      <c r="D17" s="17">
        <v>451784338.99</v>
      </c>
      <c r="F17" s="17" t="s">
        <v>90</v>
      </c>
      <c r="G17" s="17">
        <v>93.90000000000001</v>
      </c>
      <c r="I17" s="17" t="s">
        <v>115</v>
      </c>
      <c r="J17" s="17">
        <v>62</v>
      </c>
    </row>
    <row r="18" spans="1:10">
      <c r="A18" s="17" t="s">
        <v>91</v>
      </c>
      <c r="B18" s="17">
        <v>-6637161913.06</v>
      </c>
      <c r="C18" s="17">
        <v>-7047045555.47</v>
      </c>
      <c r="D18" s="17">
        <v>451784338.99</v>
      </c>
      <c r="F18" s="17" t="s">
        <v>91</v>
      </c>
      <c r="G18" s="17">
        <v>94.12</v>
      </c>
      <c r="I18" s="17" t="s">
        <v>116</v>
      </c>
      <c r="J18" s="17">
        <v>43</v>
      </c>
    </row>
    <row r="19" spans="1:10">
      <c r="I19" s="17" t="s">
        <v>117</v>
      </c>
      <c r="J19" s="17">
        <v>47</v>
      </c>
    </row>
    <row r="20" spans="1:10">
      <c r="I20" s="17" t="s">
        <v>118</v>
      </c>
      <c r="J20" s="17">
        <v>45</v>
      </c>
    </row>
    <row r="21" spans="1:10">
      <c r="I21" s="17" t="s">
        <v>119</v>
      </c>
      <c r="J21" s="17">
        <v>33</v>
      </c>
    </row>
    <row r="22" spans="1:10">
      <c r="I22" s="17" t="s">
        <v>120</v>
      </c>
      <c r="J22" s="17">
        <v>17</v>
      </c>
    </row>
    <row r="23" spans="1:10">
      <c r="I23" s="17" t="s">
        <v>121</v>
      </c>
      <c r="J23" s="17">
        <v>14</v>
      </c>
    </row>
    <row r="24" spans="1:10">
      <c r="I24" s="17" t="s">
        <v>122</v>
      </c>
      <c r="J24" s="17">
        <v>11</v>
      </c>
    </row>
    <row r="25" spans="1:10">
      <c r="I25" s="17" t="s">
        <v>123</v>
      </c>
      <c r="J25" s="17">
        <v>5</v>
      </c>
    </row>
    <row r="26" spans="1:10">
      <c r="I26" s="17" t="s">
        <v>124</v>
      </c>
      <c r="J26" s="17">
        <v>5</v>
      </c>
    </row>
    <row r="27" spans="1:10">
      <c r="I27" s="17" t="s">
        <v>125</v>
      </c>
      <c r="J27" s="17">
        <v>0</v>
      </c>
    </row>
    <row r="28" spans="1:10">
      <c r="I28" s="17" t="s">
        <v>126</v>
      </c>
      <c r="J28" s="17">
        <v>2</v>
      </c>
    </row>
    <row r="29" spans="1:10">
      <c r="I29" s="17" t="s">
        <v>127</v>
      </c>
      <c r="J29" s="17">
        <v>0</v>
      </c>
    </row>
    <row r="30" spans="1:10">
      <c r="I30" s="17" t="s">
        <v>128</v>
      </c>
      <c r="J30" s="17">
        <v>0</v>
      </c>
    </row>
    <row r="31" spans="1:10">
      <c r="I31" s="17" t="s">
        <v>129</v>
      </c>
      <c r="J31" s="1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73</v>
      </c>
    </row>
    <row r="3" spans="2:2">
      <c r="B3" t="s">
        <v>74</v>
      </c>
    </row>
    <row r="4" spans="2:2">
      <c r="B4" s="19" t="s">
        <v>95</v>
      </c>
    </row>
    <row r="25" spans="2:2">
      <c r="B25" t="s">
        <v>96</v>
      </c>
    </row>
    <row r="26" spans="2:2">
      <c r="B26" s="19" t="s">
        <v>98</v>
      </c>
    </row>
    <row r="47" spans="2:2">
      <c r="B47" t="s">
        <v>99</v>
      </c>
    </row>
    <row r="48" spans="2:2">
      <c r="B48" s="19" t="s">
        <v>131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23"/>
  <sheetViews>
    <sheetView showGridLines="0" workbookViewId="0">
      <pane ySplit="4" topLeftCell="A5" activePane="bottomLeft" state="frozen"/>
      <selection pane="bottomLeft"/>
    </sheetView>
  </sheetViews>
  <sheetFormatPr defaultRowHeight="15"/>
  <cols>
    <col min="1" max="1" width="11.7109375" customWidth="1"/>
    <col min="2" max="2" width="23.7109375" customWidth="1"/>
    <col min="3" max="3" width="17.7109375" customWidth="1"/>
    <col min="4" max="4" width="13.7109375" customWidth="1"/>
    <col min="5" max="5" width="18.7109375" customWidth="1"/>
    <col min="6" max="6" width="17.7109375" customWidth="1"/>
    <col min="7" max="7" width="18.7109375" customWidth="1"/>
  </cols>
  <sheetData>
    <row r="1" spans="1:7">
      <c r="A1" s="4" t="s">
        <v>132</v>
      </c>
    </row>
    <row r="2" spans="1:7">
      <c r="A2" s="20" t="s">
        <v>133</v>
      </c>
    </row>
    <row r="4" spans="1:7" ht="24" customHeight="1">
      <c r="A4" s="8" t="s">
        <v>134</v>
      </c>
      <c r="B4" s="8" t="s">
        <v>135</v>
      </c>
      <c r="C4" s="8" t="s">
        <v>136</v>
      </c>
      <c r="D4" s="8" t="s">
        <v>137</v>
      </c>
      <c r="E4" s="8" t="s">
        <v>92</v>
      </c>
      <c r="F4" s="8" t="s">
        <v>138</v>
      </c>
      <c r="G4" s="8" t="s">
        <v>139</v>
      </c>
    </row>
    <row r="5" spans="1:7">
      <c r="A5" s="10" t="s">
        <v>140</v>
      </c>
      <c r="B5" s="10" t="s">
        <v>141</v>
      </c>
      <c r="C5" s="10" t="s">
        <v>142</v>
      </c>
      <c r="D5" s="10" t="s">
        <v>44</v>
      </c>
      <c r="E5" s="10" t="s">
        <v>143</v>
      </c>
      <c r="F5" s="10" t="s">
        <v>47</v>
      </c>
      <c r="G5" s="10" t="s">
        <v>144</v>
      </c>
    </row>
    <row r="6" spans="1:7">
      <c r="A6" s="17" t="s">
        <v>145</v>
      </c>
      <c r="B6" s="17" t="s">
        <v>146</v>
      </c>
      <c r="C6" s="17" t="s">
        <v>147</v>
      </c>
      <c r="D6" s="17" t="s">
        <v>148</v>
      </c>
      <c r="E6" s="17" t="s">
        <v>149</v>
      </c>
      <c r="F6" s="17" t="s">
        <v>150</v>
      </c>
      <c r="G6" s="17" t="s">
        <v>151</v>
      </c>
    </row>
    <row r="7" spans="1:7">
      <c r="A7" s="17" t="s">
        <v>152</v>
      </c>
      <c r="B7" s="17" t="s">
        <v>153</v>
      </c>
      <c r="C7" s="17" t="s">
        <v>154</v>
      </c>
      <c r="D7" s="17" t="s">
        <v>155</v>
      </c>
      <c r="E7" s="17" t="s">
        <v>156</v>
      </c>
      <c r="F7" s="17" t="s">
        <v>157</v>
      </c>
      <c r="G7" s="17" t="s">
        <v>158</v>
      </c>
    </row>
    <row r="8" spans="1:7">
      <c r="A8" s="17" t="s">
        <v>159</v>
      </c>
      <c r="B8" s="17" t="s">
        <v>160</v>
      </c>
      <c r="C8" s="17" t="s">
        <v>161</v>
      </c>
      <c r="D8" s="17" t="s">
        <v>162</v>
      </c>
      <c r="E8" s="17" t="s">
        <v>163</v>
      </c>
      <c r="F8" s="17" t="s">
        <v>164</v>
      </c>
      <c r="G8" s="17" t="s">
        <v>165</v>
      </c>
    </row>
    <row r="9" spans="1:7">
      <c r="A9" s="17" t="s">
        <v>166</v>
      </c>
      <c r="B9" s="17" t="s">
        <v>167</v>
      </c>
      <c r="C9" s="17" t="s">
        <v>168</v>
      </c>
      <c r="D9" s="17" t="s">
        <v>169</v>
      </c>
      <c r="E9" s="17" t="s">
        <v>170</v>
      </c>
      <c r="F9" s="17" t="s">
        <v>171</v>
      </c>
      <c r="G9" s="17" t="s">
        <v>172</v>
      </c>
    </row>
    <row r="10" spans="1:7">
      <c r="A10" s="17" t="s">
        <v>173</v>
      </c>
      <c r="B10" s="17" t="s">
        <v>174</v>
      </c>
      <c r="C10" s="17" t="s">
        <v>175</v>
      </c>
      <c r="D10" s="17" t="s">
        <v>176</v>
      </c>
      <c r="E10" s="17" t="s">
        <v>177</v>
      </c>
      <c r="F10" s="17" t="s">
        <v>178</v>
      </c>
      <c r="G10" s="17" t="s">
        <v>172</v>
      </c>
    </row>
    <row r="11" spans="1:7">
      <c r="A11" s="17" t="s">
        <v>179</v>
      </c>
      <c r="B11" s="17" t="s">
        <v>180</v>
      </c>
      <c r="C11" s="17" t="s">
        <v>181</v>
      </c>
      <c r="D11" s="17" t="s">
        <v>182</v>
      </c>
      <c r="E11" s="17" t="s">
        <v>183</v>
      </c>
      <c r="F11" s="17" t="s">
        <v>184</v>
      </c>
      <c r="G11" s="17" t="s">
        <v>172</v>
      </c>
    </row>
    <row r="12" spans="1:7">
      <c r="A12" s="17" t="s">
        <v>185</v>
      </c>
      <c r="B12" s="17" t="s">
        <v>186</v>
      </c>
      <c r="C12" s="17" t="s">
        <v>187</v>
      </c>
      <c r="D12" s="17" t="s">
        <v>188</v>
      </c>
      <c r="E12" s="17" t="s">
        <v>189</v>
      </c>
      <c r="F12" s="17" t="s">
        <v>190</v>
      </c>
      <c r="G12" s="17" t="s">
        <v>172</v>
      </c>
    </row>
    <row r="13" spans="1:7">
      <c r="A13" s="17" t="s">
        <v>191</v>
      </c>
      <c r="B13" s="17" t="s">
        <v>192</v>
      </c>
      <c r="C13" s="17" t="s">
        <v>193</v>
      </c>
      <c r="D13" s="17" t="s">
        <v>194</v>
      </c>
      <c r="E13" s="17" t="s">
        <v>195</v>
      </c>
      <c r="F13" s="17" t="s">
        <v>196</v>
      </c>
      <c r="G13" s="17" t="s">
        <v>172</v>
      </c>
    </row>
    <row r="14" spans="1:7">
      <c r="A14" s="17" t="s">
        <v>197</v>
      </c>
      <c r="B14" s="17" t="s">
        <v>198</v>
      </c>
      <c r="C14" s="17" t="s">
        <v>199</v>
      </c>
      <c r="D14" s="17" t="s">
        <v>200</v>
      </c>
      <c r="E14" s="17" t="s">
        <v>201</v>
      </c>
      <c r="F14" s="17" t="s">
        <v>202</v>
      </c>
      <c r="G14" s="17" t="s">
        <v>172</v>
      </c>
    </row>
    <row r="15" spans="1:7">
      <c r="A15" s="17" t="s">
        <v>203</v>
      </c>
      <c r="B15" s="17" t="s">
        <v>204</v>
      </c>
      <c r="C15" s="17" t="s">
        <v>205</v>
      </c>
      <c r="D15" s="17" t="s">
        <v>206</v>
      </c>
      <c r="E15" s="17" t="s">
        <v>207</v>
      </c>
      <c r="F15" s="17" t="s">
        <v>208</v>
      </c>
      <c r="G15" s="17" t="s">
        <v>172</v>
      </c>
    </row>
    <row r="16" spans="1:7">
      <c r="A16" s="17" t="s">
        <v>209</v>
      </c>
      <c r="B16" s="17" t="s">
        <v>210</v>
      </c>
      <c r="C16" s="17" t="s">
        <v>211</v>
      </c>
      <c r="D16" s="17" t="s">
        <v>212</v>
      </c>
      <c r="E16" s="17" t="s">
        <v>213</v>
      </c>
      <c r="F16" s="17" t="s">
        <v>214</v>
      </c>
      <c r="G16" s="17" t="s">
        <v>172</v>
      </c>
    </row>
    <row r="17" spans="1:7">
      <c r="A17" s="17" t="s">
        <v>215</v>
      </c>
      <c r="B17" s="17" t="s">
        <v>216</v>
      </c>
      <c r="C17" s="17" t="s">
        <v>217</v>
      </c>
      <c r="D17" s="17" t="s">
        <v>218</v>
      </c>
      <c r="E17" s="17" t="s">
        <v>219</v>
      </c>
      <c r="F17" s="17" t="s">
        <v>220</v>
      </c>
      <c r="G17" s="17" t="s">
        <v>172</v>
      </c>
    </row>
    <row r="18" spans="1:7">
      <c r="A18" s="17" t="s">
        <v>221</v>
      </c>
      <c r="B18" s="17" t="s">
        <v>222</v>
      </c>
      <c r="C18" s="17" t="s">
        <v>223</v>
      </c>
      <c r="D18" s="17" t="s">
        <v>224</v>
      </c>
      <c r="E18" s="17" t="s">
        <v>225</v>
      </c>
      <c r="F18" s="17" t="s">
        <v>226</v>
      </c>
      <c r="G18" s="17" t="s">
        <v>172</v>
      </c>
    </row>
    <row r="19" spans="1:7">
      <c r="A19" s="17" t="s">
        <v>227</v>
      </c>
      <c r="B19" s="17" t="s">
        <v>228</v>
      </c>
      <c r="C19" s="17" t="s">
        <v>229</v>
      </c>
      <c r="D19" s="17" t="s">
        <v>230</v>
      </c>
      <c r="E19" s="17" t="s">
        <v>231</v>
      </c>
      <c r="F19" s="17" t="s">
        <v>232</v>
      </c>
      <c r="G19" s="17" t="s">
        <v>172</v>
      </c>
    </row>
    <row r="20" spans="1:7">
      <c r="A20" s="17" t="s">
        <v>233</v>
      </c>
      <c r="B20" s="17" t="s">
        <v>234</v>
      </c>
      <c r="C20" s="17" t="s">
        <v>235</v>
      </c>
      <c r="D20" s="17" t="s">
        <v>236</v>
      </c>
      <c r="E20" s="17" t="s">
        <v>237</v>
      </c>
      <c r="F20" s="17" t="s">
        <v>238</v>
      </c>
      <c r="G20" s="17" t="s">
        <v>172</v>
      </c>
    </row>
    <row r="21" spans="1:7">
      <c r="A21" s="17" t="s">
        <v>239</v>
      </c>
      <c r="B21" s="17" t="s">
        <v>240</v>
      </c>
      <c r="C21" s="17" t="s">
        <v>241</v>
      </c>
      <c r="D21" s="17" t="s">
        <v>242</v>
      </c>
      <c r="E21" s="17" t="s">
        <v>243</v>
      </c>
      <c r="F21" s="17" t="s">
        <v>244</v>
      </c>
      <c r="G21" s="17" t="s">
        <v>172</v>
      </c>
    </row>
    <row r="23" spans="1:7">
      <c r="A23" s="20" t="s">
        <v>245</v>
      </c>
    </row>
  </sheetData>
  <autoFilter ref="A4:G2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9"/>
  <sheetViews>
    <sheetView showGridLines="0" workbookViewId="0">
      <pane ySplit="4" topLeftCell="A5" activePane="bottomLeft" state="frozen"/>
      <selection pane="bottomLeft"/>
    </sheetView>
  </sheetViews>
  <sheetFormatPr defaultRowHeight="15"/>
  <cols>
    <col min="1" max="1" width="36.7109375" customWidth="1"/>
    <col min="2" max="2" width="16.7109375" customWidth="1"/>
    <col min="3" max="3" width="17.7109375" customWidth="1"/>
    <col min="4" max="4" width="25.7109375" customWidth="1"/>
  </cols>
  <sheetData>
    <row r="1" spans="1:4">
      <c r="A1" s="4" t="s">
        <v>246</v>
      </c>
    </row>
    <row r="2" spans="1:4">
      <c r="A2" s="20" t="s">
        <v>247</v>
      </c>
    </row>
    <row r="4" spans="1:4" ht="24" customHeight="1">
      <c r="A4" s="8" t="s">
        <v>248</v>
      </c>
      <c r="B4" s="8" t="s">
        <v>249</v>
      </c>
      <c r="C4" s="8" t="s">
        <v>250</v>
      </c>
      <c r="D4" s="8" t="s">
        <v>251</v>
      </c>
    </row>
    <row r="5" spans="1:4">
      <c r="A5" s="17" t="s">
        <v>134</v>
      </c>
      <c r="B5" s="17" t="s">
        <v>140</v>
      </c>
      <c r="C5" s="17" t="s">
        <v>203</v>
      </c>
      <c r="D5" s="17" t="s">
        <v>252</v>
      </c>
    </row>
    <row r="6" spans="1:4">
      <c r="A6" s="17" t="s">
        <v>137</v>
      </c>
      <c r="B6" s="17" t="s">
        <v>44</v>
      </c>
      <c r="C6" s="17" t="s">
        <v>206</v>
      </c>
      <c r="D6" s="17" t="s">
        <v>253</v>
      </c>
    </row>
    <row r="7" spans="1:4">
      <c r="A7" s="17" t="s">
        <v>136</v>
      </c>
      <c r="B7" s="17" t="s">
        <v>142</v>
      </c>
      <c r="C7" s="17" t="s">
        <v>205</v>
      </c>
      <c r="D7" s="17" t="s">
        <v>254</v>
      </c>
    </row>
    <row r="8" spans="1:4">
      <c r="A8" s="17" t="s">
        <v>92</v>
      </c>
      <c r="B8" s="17" t="s">
        <v>143</v>
      </c>
      <c r="C8" s="17" t="s">
        <v>207</v>
      </c>
      <c r="D8" s="17" t="s">
        <v>255</v>
      </c>
    </row>
    <row r="9" spans="1:4">
      <c r="A9" s="17" t="s">
        <v>256</v>
      </c>
      <c r="B9" s="17" t="s">
        <v>22</v>
      </c>
      <c r="C9" s="17" t="s">
        <v>257</v>
      </c>
      <c r="D9" s="17" t="s">
        <v>258</v>
      </c>
    </row>
  </sheetData>
  <autoFilter ref="A4:D9"/>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3"/>
  <sheetViews>
    <sheetView showGridLines="0" workbookViewId="0">
      <pane ySplit="4" topLeftCell="A5" activePane="bottomLeft" state="frozen"/>
      <selection pane="bottomLeft"/>
    </sheetView>
  </sheetViews>
  <sheetFormatPr defaultRowHeight="15"/>
  <cols>
    <col min="1" max="1" width="11.7109375" customWidth="1"/>
    <col min="2" max="2" width="18.7109375" customWidth="1"/>
    <col min="3" max="4" width="20.7109375" customWidth="1"/>
    <col min="5" max="5" width="22.7109375" customWidth="1"/>
  </cols>
  <sheetData>
    <row r="1" spans="1:5">
      <c r="A1" s="4" t="s">
        <v>259</v>
      </c>
    </row>
    <row r="2" spans="1:5">
      <c r="A2" s="20" t="s">
        <v>260</v>
      </c>
    </row>
    <row r="4" spans="1:5" ht="24" customHeight="1">
      <c r="A4" s="8" t="s">
        <v>134</v>
      </c>
      <c r="B4" s="8" t="s">
        <v>92</v>
      </c>
      <c r="C4" s="8" t="s">
        <v>261</v>
      </c>
      <c r="D4" s="8" t="s">
        <v>262</v>
      </c>
      <c r="E4" s="8" t="s">
        <v>19</v>
      </c>
    </row>
    <row r="5" spans="1:5">
      <c r="A5" s="10" t="s">
        <v>140</v>
      </c>
      <c r="B5" s="10" t="s">
        <v>143</v>
      </c>
      <c r="C5" s="10" t="s">
        <v>47</v>
      </c>
      <c r="D5" s="10" t="s">
        <v>263</v>
      </c>
      <c r="E5" s="10" t="s">
        <v>264</v>
      </c>
    </row>
    <row r="6" spans="1:5">
      <c r="A6" s="17" t="s">
        <v>145</v>
      </c>
      <c r="B6" s="17" t="s">
        <v>149</v>
      </c>
      <c r="C6" s="17" t="s">
        <v>265</v>
      </c>
      <c r="D6" s="17" t="s">
        <v>266</v>
      </c>
      <c r="E6" s="17" t="s">
        <v>267</v>
      </c>
    </row>
    <row r="7" spans="1:5">
      <c r="A7" s="17" t="s">
        <v>152</v>
      </c>
      <c r="B7" s="17" t="s">
        <v>156</v>
      </c>
      <c r="C7" s="17" t="s">
        <v>268</v>
      </c>
      <c r="D7" s="17" t="s">
        <v>266</v>
      </c>
      <c r="E7" s="17" t="s">
        <v>269</v>
      </c>
    </row>
    <row r="8" spans="1:5">
      <c r="A8" s="17" t="s">
        <v>159</v>
      </c>
      <c r="B8" s="17" t="s">
        <v>163</v>
      </c>
      <c r="C8" s="17" t="s">
        <v>270</v>
      </c>
      <c r="D8" s="17" t="s">
        <v>266</v>
      </c>
      <c r="E8" s="17" t="s">
        <v>271</v>
      </c>
    </row>
    <row r="9" spans="1:5">
      <c r="A9" s="17" t="s">
        <v>166</v>
      </c>
      <c r="B9" s="17" t="s">
        <v>170</v>
      </c>
      <c r="C9" s="17" t="s">
        <v>272</v>
      </c>
      <c r="D9" s="17" t="s">
        <v>266</v>
      </c>
      <c r="E9" s="17" t="s">
        <v>273</v>
      </c>
    </row>
    <row r="10" spans="1:5">
      <c r="A10" s="17" t="s">
        <v>173</v>
      </c>
      <c r="B10" s="17" t="s">
        <v>177</v>
      </c>
      <c r="C10" s="17" t="s">
        <v>274</v>
      </c>
      <c r="D10" s="17" t="s">
        <v>266</v>
      </c>
      <c r="E10" s="17" t="s">
        <v>275</v>
      </c>
    </row>
    <row r="11" spans="1:5">
      <c r="A11" s="17" t="s">
        <v>179</v>
      </c>
      <c r="B11" s="17" t="s">
        <v>183</v>
      </c>
      <c r="C11" s="17" t="s">
        <v>276</v>
      </c>
      <c r="D11" s="17" t="s">
        <v>266</v>
      </c>
      <c r="E11" s="17" t="s">
        <v>277</v>
      </c>
    </row>
    <row r="12" spans="1:5">
      <c r="A12" s="17" t="s">
        <v>185</v>
      </c>
      <c r="B12" s="17" t="s">
        <v>189</v>
      </c>
      <c r="C12" s="17" t="s">
        <v>278</v>
      </c>
      <c r="D12" s="17" t="s">
        <v>266</v>
      </c>
      <c r="E12" s="17" t="s">
        <v>279</v>
      </c>
    </row>
    <row r="13" spans="1:5">
      <c r="A13" s="17" t="s">
        <v>191</v>
      </c>
      <c r="B13" s="17" t="s">
        <v>195</v>
      </c>
      <c r="C13" s="17" t="s">
        <v>280</v>
      </c>
      <c r="D13" s="17" t="s">
        <v>266</v>
      </c>
      <c r="E13" s="17" t="s">
        <v>281</v>
      </c>
    </row>
    <row r="14" spans="1:5">
      <c r="A14" s="17" t="s">
        <v>197</v>
      </c>
      <c r="B14" s="17" t="s">
        <v>201</v>
      </c>
      <c r="C14" s="17" t="s">
        <v>282</v>
      </c>
      <c r="D14" s="17" t="s">
        <v>266</v>
      </c>
      <c r="E14" s="17" t="s">
        <v>283</v>
      </c>
    </row>
    <row r="15" spans="1:5">
      <c r="A15" s="17" t="s">
        <v>203</v>
      </c>
      <c r="B15" s="17" t="s">
        <v>207</v>
      </c>
      <c r="C15" s="17" t="s">
        <v>284</v>
      </c>
      <c r="D15" s="17" t="s">
        <v>266</v>
      </c>
      <c r="E15" s="17" t="s">
        <v>285</v>
      </c>
    </row>
    <row r="16" spans="1:5">
      <c r="A16" s="17" t="s">
        <v>209</v>
      </c>
      <c r="B16" s="17" t="s">
        <v>213</v>
      </c>
      <c r="C16" s="17" t="s">
        <v>286</v>
      </c>
      <c r="D16" s="17" t="s">
        <v>266</v>
      </c>
      <c r="E16" s="17" t="s">
        <v>287</v>
      </c>
    </row>
    <row r="17" spans="1:5">
      <c r="A17" s="17" t="s">
        <v>215</v>
      </c>
      <c r="B17" s="17" t="s">
        <v>219</v>
      </c>
      <c r="C17" s="17" t="s">
        <v>288</v>
      </c>
      <c r="D17" s="17" t="s">
        <v>266</v>
      </c>
      <c r="E17" s="17" t="s">
        <v>289</v>
      </c>
    </row>
    <row r="18" spans="1:5">
      <c r="A18" s="17" t="s">
        <v>221</v>
      </c>
      <c r="B18" s="17" t="s">
        <v>225</v>
      </c>
      <c r="C18" s="17" t="s">
        <v>290</v>
      </c>
      <c r="D18" s="17" t="s">
        <v>266</v>
      </c>
      <c r="E18" s="17" t="s">
        <v>291</v>
      </c>
    </row>
    <row r="19" spans="1:5">
      <c r="A19" s="17" t="s">
        <v>227</v>
      </c>
      <c r="B19" s="17" t="s">
        <v>231</v>
      </c>
      <c r="C19" s="17" t="s">
        <v>292</v>
      </c>
      <c r="D19" s="17" t="s">
        <v>266</v>
      </c>
      <c r="E19" s="17" t="s">
        <v>293</v>
      </c>
    </row>
    <row r="20" spans="1:5">
      <c r="A20" s="17" t="s">
        <v>233</v>
      </c>
      <c r="B20" s="17" t="s">
        <v>237</v>
      </c>
      <c r="C20" s="17" t="s">
        <v>294</v>
      </c>
      <c r="D20" s="17" t="s">
        <v>266</v>
      </c>
      <c r="E20" s="17" t="s">
        <v>295</v>
      </c>
    </row>
    <row r="21" spans="1:5">
      <c r="A21" s="17" t="s">
        <v>239</v>
      </c>
      <c r="B21" s="17" t="s">
        <v>243</v>
      </c>
      <c r="C21" s="17" t="s">
        <v>296</v>
      </c>
      <c r="D21" s="17" t="s">
        <v>266</v>
      </c>
      <c r="E21" s="17" t="s">
        <v>297</v>
      </c>
    </row>
    <row r="23" spans="1:5">
      <c r="A23" s="20" t="s">
        <v>298</v>
      </c>
    </row>
  </sheetData>
  <autoFilter ref="A4:E21"/>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9"/>
  <sheetViews>
    <sheetView showGridLines="0" workbookViewId="0">
      <pane ySplit="4" topLeftCell="A5" activePane="bottomLeft" state="frozen"/>
      <selection pane="bottomLeft"/>
    </sheetView>
  </sheetViews>
  <sheetFormatPr defaultRowHeight="15"/>
  <cols>
    <col min="1" max="3" width="13.7109375" customWidth="1"/>
    <col min="4" max="4" width="11.7109375" customWidth="1"/>
    <col min="5" max="5" width="16.7109375" customWidth="1"/>
    <col min="6" max="6" width="18.7109375" customWidth="1"/>
  </cols>
  <sheetData>
    <row r="1" spans="1:6">
      <c r="A1" s="4" t="s">
        <v>299</v>
      </c>
    </row>
    <row r="2" spans="1:6">
      <c r="A2" s="20" t="s">
        <v>300</v>
      </c>
    </row>
    <row r="4" spans="1:6" ht="24" customHeight="1">
      <c r="A4" s="8" t="s">
        <v>301</v>
      </c>
      <c r="B4" s="8" t="s">
        <v>302</v>
      </c>
      <c r="C4" s="8" t="s">
        <v>18</v>
      </c>
      <c r="D4" s="8" t="s">
        <v>303</v>
      </c>
      <c r="E4" s="8" t="s">
        <v>304</v>
      </c>
      <c r="F4" s="8" t="s">
        <v>92</v>
      </c>
    </row>
    <row r="5" spans="1:6">
      <c r="A5" s="17" t="s">
        <v>305</v>
      </c>
      <c r="B5" s="17" t="s">
        <v>306</v>
      </c>
      <c r="C5" s="17" t="s">
        <v>307</v>
      </c>
      <c r="D5" s="17" t="s">
        <v>308</v>
      </c>
      <c r="E5" s="17" t="s">
        <v>22</v>
      </c>
      <c r="F5" s="17" t="s">
        <v>309</v>
      </c>
    </row>
    <row r="6" spans="1:6">
      <c r="A6" s="17" t="s">
        <v>310</v>
      </c>
      <c r="B6" s="17" t="s">
        <v>311</v>
      </c>
      <c r="C6" s="17" t="s">
        <v>307</v>
      </c>
      <c r="D6" s="17" t="s">
        <v>312</v>
      </c>
      <c r="E6" s="17" t="s">
        <v>22</v>
      </c>
      <c r="F6" s="17" t="s">
        <v>313</v>
      </c>
    </row>
    <row r="7" spans="1:6">
      <c r="A7" s="17" t="s">
        <v>314</v>
      </c>
      <c r="B7" s="17" t="s">
        <v>315</v>
      </c>
      <c r="C7" s="17" t="s">
        <v>307</v>
      </c>
      <c r="D7" s="17" t="s">
        <v>316</v>
      </c>
      <c r="E7" s="17" t="s">
        <v>22</v>
      </c>
      <c r="F7" s="17" t="s">
        <v>317</v>
      </c>
    </row>
    <row r="8" spans="1:6">
      <c r="A8" s="17" t="s">
        <v>318</v>
      </c>
      <c r="B8" s="17" t="s">
        <v>319</v>
      </c>
      <c r="C8" s="17" t="s">
        <v>320</v>
      </c>
      <c r="D8" s="17" t="s">
        <v>321</v>
      </c>
      <c r="E8" s="17" t="s">
        <v>22</v>
      </c>
      <c r="F8" s="17" t="s">
        <v>322</v>
      </c>
    </row>
    <row r="9" spans="1:6">
      <c r="A9" s="17" t="s">
        <v>323</v>
      </c>
      <c r="B9" s="17" t="s">
        <v>324</v>
      </c>
      <c r="C9" s="17" t="s">
        <v>325</v>
      </c>
      <c r="D9" s="17" t="s">
        <v>326</v>
      </c>
      <c r="E9" s="17" t="s">
        <v>22</v>
      </c>
      <c r="F9" s="17" t="s">
        <v>327</v>
      </c>
    </row>
    <row r="10" spans="1:6">
      <c r="A10" s="17" t="s">
        <v>328</v>
      </c>
      <c r="B10" s="17" t="s">
        <v>329</v>
      </c>
      <c r="C10" s="17" t="s">
        <v>330</v>
      </c>
      <c r="D10" s="17" t="s">
        <v>331</v>
      </c>
      <c r="E10" s="17" t="s">
        <v>22</v>
      </c>
      <c r="F10" s="17" t="s">
        <v>332</v>
      </c>
    </row>
    <row r="11" spans="1:6">
      <c r="A11" s="17" t="s">
        <v>333</v>
      </c>
      <c r="B11" s="17" t="s">
        <v>334</v>
      </c>
      <c r="C11" s="17" t="s">
        <v>335</v>
      </c>
      <c r="D11" s="17" t="s">
        <v>336</v>
      </c>
      <c r="E11" s="17" t="s">
        <v>22</v>
      </c>
      <c r="F11" s="17" t="s">
        <v>337</v>
      </c>
    </row>
    <row r="12" spans="1:6">
      <c r="A12" s="17" t="s">
        <v>338</v>
      </c>
      <c r="B12" s="17" t="s">
        <v>339</v>
      </c>
      <c r="C12" s="17" t="s">
        <v>340</v>
      </c>
      <c r="D12" s="17" t="s">
        <v>341</v>
      </c>
      <c r="E12" s="17" t="s">
        <v>342</v>
      </c>
      <c r="F12" s="17" t="s">
        <v>343</v>
      </c>
    </row>
    <row r="13" spans="1:6">
      <c r="A13" s="17" t="s">
        <v>344</v>
      </c>
      <c r="B13" s="17" t="s">
        <v>345</v>
      </c>
      <c r="C13" s="17" t="s">
        <v>346</v>
      </c>
      <c r="D13" s="17" t="s">
        <v>347</v>
      </c>
      <c r="E13" s="17" t="s">
        <v>22</v>
      </c>
      <c r="F13" s="17" t="s">
        <v>348</v>
      </c>
    </row>
    <row r="14" spans="1:6">
      <c r="A14" s="17" t="s">
        <v>349</v>
      </c>
      <c r="B14" s="17" t="s">
        <v>350</v>
      </c>
      <c r="C14" s="17" t="s">
        <v>351</v>
      </c>
      <c r="D14" s="17" t="s">
        <v>352</v>
      </c>
      <c r="E14" s="17" t="s">
        <v>22</v>
      </c>
      <c r="F14" s="17" t="s">
        <v>353</v>
      </c>
    </row>
    <row r="15" spans="1:6">
      <c r="A15" s="17" t="s">
        <v>354</v>
      </c>
      <c r="B15" s="17" t="s">
        <v>355</v>
      </c>
      <c r="C15" s="17" t="s">
        <v>356</v>
      </c>
      <c r="D15" s="17" t="s">
        <v>357</v>
      </c>
      <c r="E15" s="17" t="s">
        <v>22</v>
      </c>
      <c r="F15" s="17" t="s">
        <v>358</v>
      </c>
    </row>
    <row r="16" spans="1:6">
      <c r="A16" s="17" t="s">
        <v>359</v>
      </c>
      <c r="B16" s="17" t="s">
        <v>360</v>
      </c>
      <c r="C16" s="17" t="s">
        <v>361</v>
      </c>
      <c r="D16" s="17" t="s">
        <v>362</v>
      </c>
      <c r="E16" s="17" t="s">
        <v>22</v>
      </c>
      <c r="F16" s="17" t="s">
        <v>363</v>
      </c>
    </row>
    <row r="17" spans="1:6">
      <c r="A17" s="17" t="s">
        <v>364</v>
      </c>
      <c r="B17" s="17" t="s">
        <v>365</v>
      </c>
      <c r="C17" s="17" t="s">
        <v>366</v>
      </c>
      <c r="D17" s="17" t="s">
        <v>367</v>
      </c>
      <c r="E17" s="17" t="s">
        <v>22</v>
      </c>
      <c r="F17" s="17" t="s">
        <v>368</v>
      </c>
    </row>
    <row r="18" spans="1:6">
      <c r="A18" s="17" t="s">
        <v>369</v>
      </c>
      <c r="B18" s="17" t="s">
        <v>370</v>
      </c>
      <c r="C18" s="17" t="s">
        <v>371</v>
      </c>
      <c r="D18" s="17" t="s">
        <v>372</v>
      </c>
      <c r="E18" s="17" t="s">
        <v>22</v>
      </c>
      <c r="F18" s="17" t="s">
        <v>373</v>
      </c>
    </row>
    <row r="19" spans="1:6">
      <c r="A19" s="17" t="s">
        <v>374</v>
      </c>
      <c r="B19" s="17" t="s">
        <v>375</v>
      </c>
      <c r="C19" s="17" t="s">
        <v>376</v>
      </c>
      <c r="D19" s="17" t="s">
        <v>377</v>
      </c>
      <c r="E19" s="17" t="s">
        <v>22</v>
      </c>
      <c r="F19" s="17" t="s">
        <v>378</v>
      </c>
    </row>
    <row r="20" spans="1:6">
      <c r="A20" s="17" t="s">
        <v>379</v>
      </c>
      <c r="B20" s="17" t="s">
        <v>380</v>
      </c>
      <c r="C20" s="17" t="s">
        <v>381</v>
      </c>
      <c r="D20" s="17" t="s">
        <v>382</v>
      </c>
      <c r="E20" s="17" t="s">
        <v>22</v>
      </c>
      <c r="F20" s="17" t="s">
        <v>383</v>
      </c>
    </row>
    <row r="21" spans="1:6">
      <c r="A21" s="17" t="s">
        <v>384</v>
      </c>
      <c r="B21" s="17" t="s">
        <v>385</v>
      </c>
      <c r="C21" s="17" t="s">
        <v>386</v>
      </c>
      <c r="D21" s="17" t="s">
        <v>387</v>
      </c>
      <c r="E21" s="17" t="s">
        <v>22</v>
      </c>
      <c r="F21" s="17" t="s">
        <v>388</v>
      </c>
    </row>
    <row r="22" spans="1:6">
      <c r="A22" s="17" t="s">
        <v>389</v>
      </c>
      <c r="B22" s="17" t="s">
        <v>390</v>
      </c>
      <c r="C22" s="17" t="s">
        <v>391</v>
      </c>
      <c r="D22" s="17" t="s">
        <v>392</v>
      </c>
      <c r="E22" s="17" t="s">
        <v>22</v>
      </c>
      <c r="F22" s="17" t="s">
        <v>393</v>
      </c>
    </row>
    <row r="23" spans="1:6">
      <c r="A23" s="17" t="s">
        <v>394</v>
      </c>
      <c r="B23" s="17" t="s">
        <v>395</v>
      </c>
      <c r="C23" s="17" t="s">
        <v>396</v>
      </c>
      <c r="D23" s="17" t="s">
        <v>397</v>
      </c>
      <c r="E23" s="17" t="s">
        <v>22</v>
      </c>
      <c r="F23" s="17" t="s">
        <v>398</v>
      </c>
    </row>
    <row r="24" spans="1:6">
      <c r="A24" s="17" t="s">
        <v>399</v>
      </c>
      <c r="B24" s="17" t="s">
        <v>400</v>
      </c>
      <c r="C24" s="17" t="s">
        <v>401</v>
      </c>
      <c r="D24" s="17" t="s">
        <v>402</v>
      </c>
      <c r="E24" s="17" t="s">
        <v>22</v>
      </c>
      <c r="F24" s="17" t="s">
        <v>403</v>
      </c>
    </row>
    <row r="25" spans="1:6">
      <c r="A25" s="17" t="s">
        <v>404</v>
      </c>
      <c r="B25" s="17" t="s">
        <v>405</v>
      </c>
      <c r="C25" s="17" t="s">
        <v>406</v>
      </c>
      <c r="D25" s="17" t="s">
        <v>407</v>
      </c>
      <c r="E25" s="17" t="s">
        <v>22</v>
      </c>
      <c r="F25" s="17" t="s">
        <v>408</v>
      </c>
    </row>
    <row r="26" spans="1:6">
      <c r="A26" s="17" t="s">
        <v>409</v>
      </c>
      <c r="B26" s="17" t="s">
        <v>410</v>
      </c>
      <c r="C26" s="17" t="s">
        <v>411</v>
      </c>
      <c r="D26" s="17" t="s">
        <v>412</v>
      </c>
      <c r="E26" s="17" t="s">
        <v>22</v>
      </c>
      <c r="F26" s="17" t="s">
        <v>413</v>
      </c>
    </row>
    <row r="27" spans="1:6">
      <c r="A27" s="17" t="s">
        <v>414</v>
      </c>
      <c r="B27" s="17" t="s">
        <v>415</v>
      </c>
      <c r="C27" s="17" t="s">
        <v>416</v>
      </c>
      <c r="D27" s="17" t="s">
        <v>417</v>
      </c>
      <c r="E27" s="17" t="s">
        <v>22</v>
      </c>
      <c r="F27" s="17" t="s">
        <v>418</v>
      </c>
    </row>
    <row r="28" spans="1:6">
      <c r="A28" s="17" t="s">
        <v>419</v>
      </c>
      <c r="B28" s="17" t="s">
        <v>420</v>
      </c>
      <c r="C28" s="17" t="s">
        <v>421</v>
      </c>
      <c r="D28" s="17" t="s">
        <v>422</v>
      </c>
      <c r="E28" s="17" t="s">
        <v>22</v>
      </c>
      <c r="F28" s="17" t="s">
        <v>423</v>
      </c>
    </row>
    <row r="29" spans="1:6">
      <c r="A29" s="17" t="s">
        <v>424</v>
      </c>
      <c r="B29" s="17" t="s">
        <v>425</v>
      </c>
      <c r="C29" s="17" t="s">
        <v>426</v>
      </c>
      <c r="D29" s="17" t="s">
        <v>427</v>
      </c>
      <c r="E29" s="17" t="s">
        <v>22</v>
      </c>
      <c r="F29" s="17" t="s">
        <v>428</v>
      </c>
    </row>
  </sheetData>
  <autoFilter ref="A4:F29"/>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5"/>
  <sheetViews>
    <sheetView showGridLines="0" workbookViewId="0"/>
  </sheetViews>
  <sheetFormatPr defaultRowHeight="15"/>
  <cols>
    <col min="1" max="1" width="8.7109375" customWidth="1"/>
    <col min="2" max="2" width="110.7109375" customWidth="1"/>
  </cols>
  <sheetData>
    <row r="1" spans="1:2">
      <c r="A1" s="4" t="s">
        <v>429</v>
      </c>
    </row>
    <row r="3" spans="1:2">
      <c r="A3" s="6" t="s">
        <v>430</v>
      </c>
    </row>
    <row r="4" spans="1:2">
      <c r="A4" s="6" t="s">
        <v>431</v>
      </c>
      <c r="B4" s="21" t="s">
        <v>432</v>
      </c>
    </row>
    <row r="6" spans="1:2">
      <c r="A6" s="6" t="s">
        <v>433</v>
      </c>
    </row>
    <row r="7" spans="1:2">
      <c r="A7" s="6">
        <v>1</v>
      </c>
      <c r="B7" s="3" t="s">
        <v>434</v>
      </c>
    </row>
    <row r="8" spans="1:2">
      <c r="A8" s="6">
        <v>2</v>
      </c>
      <c r="B8" s="3" t="s">
        <v>435</v>
      </c>
    </row>
    <row r="9" spans="1:2">
      <c r="A9" s="6">
        <v>3</v>
      </c>
      <c r="B9" s="3" t="s">
        <v>436</v>
      </c>
    </row>
    <row r="10" spans="1:2">
      <c r="A10" s="6">
        <v>4</v>
      </c>
      <c r="B10" s="3" t="s">
        <v>437</v>
      </c>
    </row>
    <row r="11" spans="1:2">
      <c r="A11" s="6">
        <v>5</v>
      </c>
      <c r="B11" s="3" t="s">
        <v>438</v>
      </c>
    </row>
    <row r="12" spans="1:2">
      <c r="A12" s="6">
        <v>6</v>
      </c>
      <c r="B12" s="3" t="s">
        <v>439</v>
      </c>
    </row>
    <row r="13" spans="1:2">
      <c r="A13" s="6">
        <v>7</v>
      </c>
      <c r="B13" s="3" t="s">
        <v>440</v>
      </c>
    </row>
    <row r="14" spans="1:2">
      <c r="A14" s="6">
        <v>8</v>
      </c>
      <c r="B14" s="3" t="s">
        <v>441</v>
      </c>
    </row>
    <row r="15" spans="1:2">
      <c r="A15" s="6">
        <v>9</v>
      </c>
      <c r="B15" s="3" t="s">
        <v>442</v>
      </c>
    </row>
    <row r="16" spans="1:2">
      <c r="A16" s="6">
        <v>10</v>
      </c>
      <c r="B16" s="3" t="s">
        <v>443</v>
      </c>
    </row>
    <row r="17" spans="1:2">
      <c r="A17" s="6">
        <v>11</v>
      </c>
      <c r="B17" s="3" t="s">
        <v>444</v>
      </c>
    </row>
    <row r="18" spans="1:2">
      <c r="A18" s="6">
        <v>12</v>
      </c>
      <c r="B18" s="3" t="s">
        <v>445</v>
      </c>
    </row>
    <row r="19" spans="1:2">
      <c r="A19" s="6">
        <v>13</v>
      </c>
      <c r="B19" s="3" t="s">
        <v>446</v>
      </c>
    </row>
    <row r="20" spans="1:2">
      <c r="A20" s="6">
        <v>14</v>
      </c>
      <c r="B20" s="3" t="s">
        <v>447</v>
      </c>
    </row>
    <row r="21" spans="1:2">
      <c r="A21" s="6">
        <v>15</v>
      </c>
      <c r="B21" s="3" t="s">
        <v>448</v>
      </c>
    </row>
    <row r="22" spans="1:2">
      <c r="A22" s="6">
        <v>16</v>
      </c>
      <c r="B22" s="3" t="s">
        <v>449</v>
      </c>
    </row>
    <row r="23" spans="1:2">
      <c r="A23" s="6">
        <v>17</v>
      </c>
      <c r="B23" s="3" t="s">
        <v>450</v>
      </c>
    </row>
    <row r="24" spans="1:2">
      <c r="A24" s="6">
        <v>18</v>
      </c>
      <c r="B24" s="3" t="s">
        <v>451</v>
      </c>
    </row>
    <row r="25" spans="1:2">
      <c r="A25" s="6">
        <v>19</v>
      </c>
      <c r="B25" s="3" t="s">
        <v>452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4"/>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453</v>
      </c>
      <c r="B1" s="8" t="s">
        <v>454</v>
      </c>
      <c r="C1" s="8" t="s">
        <v>455</v>
      </c>
      <c r="D1" s="8" t="s">
        <v>456</v>
      </c>
    </row>
    <row r="2" spans="1:4">
      <c r="A2" s="22" t="s">
        <v>457</v>
      </c>
      <c r="B2" s="17" t="s">
        <v>458</v>
      </c>
      <c r="C2" s="23" t="s">
        <v>459</v>
      </c>
      <c r="D2" s="23"/>
    </row>
    <row r="3" spans="1:4">
      <c r="A3" s="22" t="s">
        <v>457</v>
      </c>
      <c r="B3" s="17" t="s">
        <v>458</v>
      </c>
      <c r="C3" s="23" t="s">
        <v>460</v>
      </c>
      <c r="D3" s="23" t="s">
        <v>461</v>
      </c>
    </row>
    <row r="4" spans="1:4">
      <c r="A4" s="22" t="s">
        <v>457</v>
      </c>
      <c r="B4" s="17" t="s">
        <v>458</v>
      </c>
      <c r="C4" s="23" t="s">
        <v>462</v>
      </c>
      <c r="D4" s="23"/>
    </row>
    <row r="5" spans="1:4">
      <c r="A5" s="22" t="s">
        <v>457</v>
      </c>
      <c r="B5" s="17" t="s">
        <v>458</v>
      </c>
      <c r="C5" s="23" t="s">
        <v>463</v>
      </c>
      <c r="D5" s="23"/>
    </row>
    <row r="6" spans="1:4">
      <c r="A6" s="22" t="s">
        <v>457</v>
      </c>
      <c r="B6" s="17" t="s">
        <v>458</v>
      </c>
      <c r="C6" s="23" t="s">
        <v>464</v>
      </c>
      <c r="D6" s="23"/>
    </row>
    <row r="7" spans="1:4">
      <c r="A7" s="22" t="s">
        <v>457</v>
      </c>
      <c r="B7" s="17" t="s">
        <v>458</v>
      </c>
      <c r="C7" s="23" t="s">
        <v>465</v>
      </c>
      <c r="D7" s="23"/>
    </row>
    <row r="8" spans="1:4">
      <c r="A8" s="22" t="s">
        <v>457</v>
      </c>
      <c r="B8" s="17" t="s">
        <v>458</v>
      </c>
      <c r="C8" s="23" t="s">
        <v>466</v>
      </c>
      <c r="D8" s="23"/>
    </row>
    <row r="9" spans="1:4">
      <c r="A9" s="22" t="s">
        <v>457</v>
      </c>
      <c r="B9" s="17" t="s">
        <v>458</v>
      </c>
      <c r="C9" s="23" t="s">
        <v>467</v>
      </c>
      <c r="D9" s="23"/>
    </row>
    <row r="10" spans="1:4">
      <c r="A10" s="22" t="s">
        <v>457</v>
      </c>
      <c r="B10" s="17" t="s">
        <v>458</v>
      </c>
      <c r="C10" s="23" t="s">
        <v>468</v>
      </c>
      <c r="D10" s="23"/>
    </row>
    <row r="11" spans="1:4">
      <c r="A11" s="22" t="s">
        <v>457</v>
      </c>
      <c r="B11" s="17" t="s">
        <v>458</v>
      </c>
      <c r="C11" s="23" t="s">
        <v>469</v>
      </c>
      <c r="D11" s="23"/>
    </row>
    <row r="12" spans="1:4">
      <c r="A12" s="22" t="s">
        <v>457</v>
      </c>
      <c r="B12" s="17" t="s">
        <v>458</v>
      </c>
      <c r="C12" s="23" t="s">
        <v>470</v>
      </c>
      <c r="D12" s="23"/>
    </row>
    <row r="13" spans="1:4">
      <c r="A13" s="22" t="s">
        <v>457</v>
      </c>
      <c r="B13" s="17" t="s">
        <v>458</v>
      </c>
      <c r="C13" s="23" t="s">
        <v>471</v>
      </c>
      <c r="D13" s="23"/>
    </row>
    <row r="14" spans="1:4">
      <c r="A14" s="22" t="s">
        <v>457</v>
      </c>
      <c r="B14" s="17" t="s">
        <v>458</v>
      </c>
      <c r="C14" s="23" t="s">
        <v>443</v>
      </c>
      <c r="D14" s="23" t="s">
        <v>472</v>
      </c>
    </row>
    <row r="15" spans="1:4">
      <c r="A15" s="22" t="s">
        <v>457</v>
      </c>
      <c r="B15" s="17" t="s">
        <v>458</v>
      </c>
      <c r="C15" s="23" t="s">
        <v>444</v>
      </c>
      <c r="D15" s="23" t="s">
        <v>472</v>
      </c>
    </row>
    <row r="16" spans="1:4">
      <c r="A16" s="22" t="s">
        <v>457</v>
      </c>
      <c r="B16" s="17" t="s">
        <v>458</v>
      </c>
      <c r="C16" s="23" t="s">
        <v>445</v>
      </c>
      <c r="D16" s="23" t="s">
        <v>472</v>
      </c>
    </row>
    <row r="17" spans="1:4">
      <c r="A17" s="22" t="s">
        <v>457</v>
      </c>
      <c r="B17" s="17" t="s">
        <v>458</v>
      </c>
      <c r="C17" s="23" t="s">
        <v>446</v>
      </c>
      <c r="D17" s="23" t="s">
        <v>472</v>
      </c>
    </row>
    <row r="18" spans="1:4">
      <c r="A18" s="22" t="s">
        <v>457</v>
      </c>
      <c r="B18" s="17" t="s">
        <v>458</v>
      </c>
      <c r="C18" s="23" t="s">
        <v>447</v>
      </c>
      <c r="D18" s="23" t="s">
        <v>472</v>
      </c>
    </row>
    <row r="19" spans="1:4">
      <c r="A19" s="22" t="s">
        <v>457</v>
      </c>
      <c r="B19" s="17" t="s">
        <v>458</v>
      </c>
      <c r="C19" s="23" t="s">
        <v>448</v>
      </c>
      <c r="D19" s="23" t="s">
        <v>472</v>
      </c>
    </row>
    <row r="20" spans="1:4">
      <c r="A20" s="22" t="s">
        <v>457</v>
      </c>
      <c r="B20" s="17" t="s">
        <v>458</v>
      </c>
      <c r="C20" s="23" t="s">
        <v>449</v>
      </c>
      <c r="D20" s="23" t="s">
        <v>472</v>
      </c>
    </row>
    <row r="21" spans="1:4">
      <c r="A21" s="22" t="s">
        <v>457</v>
      </c>
      <c r="B21" s="17" t="s">
        <v>458</v>
      </c>
      <c r="C21" s="23" t="s">
        <v>450</v>
      </c>
      <c r="D21" s="23" t="s">
        <v>472</v>
      </c>
    </row>
    <row r="22" spans="1:4">
      <c r="A22" s="22" t="s">
        <v>457</v>
      </c>
      <c r="B22" s="17" t="s">
        <v>458</v>
      </c>
      <c r="C22" s="23" t="s">
        <v>451</v>
      </c>
      <c r="D22" s="23" t="s">
        <v>472</v>
      </c>
    </row>
    <row r="23" spans="1:4">
      <c r="A23" s="22" t="s">
        <v>457</v>
      </c>
      <c r="B23" s="17" t="s">
        <v>458</v>
      </c>
      <c r="C23" s="23" t="s">
        <v>452</v>
      </c>
      <c r="D23" s="23" t="s">
        <v>472</v>
      </c>
    </row>
    <row r="24" spans="1:4">
      <c r="A24" s="22" t="s">
        <v>473</v>
      </c>
      <c r="B24" s="17" t="s">
        <v>458</v>
      </c>
      <c r="C24" s="23" t="s">
        <v>474</v>
      </c>
      <c r="D24" s="23"/>
    </row>
    <row r="25" spans="1:4">
      <c r="A25" s="22" t="s">
        <v>473</v>
      </c>
      <c r="B25" s="17" t="s">
        <v>475</v>
      </c>
      <c r="C25" s="23" t="s">
        <v>476</v>
      </c>
      <c r="D25" s="23"/>
    </row>
    <row r="26" spans="1:4">
      <c r="A26" s="22" t="s">
        <v>477</v>
      </c>
      <c r="B26" s="17" t="s">
        <v>478</v>
      </c>
      <c r="C26" s="23" t="s">
        <v>479</v>
      </c>
      <c r="D26" s="23"/>
    </row>
    <row r="27" spans="1:4">
      <c r="A27" s="22" t="s">
        <v>480</v>
      </c>
      <c r="B27" s="17" t="s">
        <v>478</v>
      </c>
      <c r="C27" s="23" t="s">
        <v>481</v>
      </c>
      <c r="D27" s="23" t="s">
        <v>482</v>
      </c>
    </row>
    <row r="28" spans="1:4">
      <c r="A28" s="22" t="s">
        <v>480</v>
      </c>
      <c r="B28" s="17" t="s">
        <v>458</v>
      </c>
      <c r="C28" s="23" t="s">
        <v>483</v>
      </c>
      <c r="D28" s="23" t="s">
        <v>484</v>
      </c>
    </row>
    <row r="29" spans="1:4">
      <c r="A29" s="22" t="s">
        <v>485</v>
      </c>
      <c r="B29" s="17" t="s">
        <v>458</v>
      </c>
      <c r="C29" s="23" t="s">
        <v>486</v>
      </c>
      <c r="D29" s="23" t="s">
        <v>435</v>
      </c>
    </row>
    <row r="30" spans="1:4">
      <c r="A30" s="22" t="s">
        <v>485</v>
      </c>
      <c r="B30" s="17" t="s">
        <v>458</v>
      </c>
      <c r="C30" s="23" t="s">
        <v>487</v>
      </c>
      <c r="D30" s="23"/>
    </row>
    <row r="31" spans="1:4">
      <c r="A31" s="22" t="s">
        <v>488</v>
      </c>
      <c r="B31" s="17" t="s">
        <v>458</v>
      </c>
      <c r="C31" s="23" t="s">
        <v>489</v>
      </c>
      <c r="D31" s="23" t="s">
        <v>490</v>
      </c>
    </row>
    <row r="32" spans="1:4">
      <c r="A32" s="22" t="s">
        <v>488</v>
      </c>
      <c r="B32" s="17" t="s">
        <v>475</v>
      </c>
      <c r="C32" s="23" t="s">
        <v>491</v>
      </c>
      <c r="D32" s="23" t="s">
        <v>492</v>
      </c>
    </row>
    <row r="33" spans="1:4">
      <c r="A33" s="22" t="s">
        <v>488</v>
      </c>
      <c r="B33" s="17" t="s">
        <v>475</v>
      </c>
      <c r="C33" s="23" t="s">
        <v>493</v>
      </c>
      <c r="D33" s="23"/>
    </row>
    <row r="34" spans="1:4">
      <c r="A34" s="22" t="s">
        <v>488</v>
      </c>
      <c r="B34" s="17" t="s">
        <v>475</v>
      </c>
      <c r="C34" s="23" t="s">
        <v>494</v>
      </c>
      <c r="D34" s="23"/>
    </row>
    <row r="35" spans="1:4">
      <c r="A35" s="22" t="s">
        <v>488</v>
      </c>
      <c r="B35" s="17" t="s">
        <v>475</v>
      </c>
      <c r="C35" s="23" t="s">
        <v>495</v>
      </c>
      <c r="D35" s="23"/>
    </row>
    <row r="36" spans="1:4">
      <c r="A36" s="22" t="s">
        <v>488</v>
      </c>
      <c r="B36" s="17" t="s">
        <v>475</v>
      </c>
      <c r="C36" s="23" t="s">
        <v>496</v>
      </c>
      <c r="D36" s="23"/>
    </row>
    <row r="37" spans="1:4">
      <c r="A37" s="22" t="s">
        <v>497</v>
      </c>
      <c r="B37" s="17" t="s">
        <v>475</v>
      </c>
      <c r="C37" s="23" t="s">
        <v>498</v>
      </c>
      <c r="D37" s="23"/>
    </row>
    <row r="38" spans="1:4">
      <c r="A38" s="22" t="s">
        <v>497</v>
      </c>
      <c r="B38" s="17" t="s">
        <v>475</v>
      </c>
      <c r="C38" s="23" t="s">
        <v>499</v>
      </c>
      <c r="D38" s="23"/>
    </row>
    <row r="39" spans="1:4">
      <c r="A39" s="22" t="s">
        <v>497</v>
      </c>
      <c r="B39" s="17" t="s">
        <v>475</v>
      </c>
      <c r="C39" s="23" t="s">
        <v>500</v>
      </c>
      <c r="D39" s="23"/>
    </row>
    <row r="40" spans="1:4">
      <c r="A40" s="22" t="s">
        <v>497</v>
      </c>
      <c r="B40" s="17" t="s">
        <v>475</v>
      </c>
      <c r="C40" s="23" t="s">
        <v>501</v>
      </c>
      <c r="D40" s="23"/>
    </row>
    <row r="41" spans="1:4">
      <c r="A41" s="22" t="s">
        <v>497</v>
      </c>
      <c r="B41" s="17" t="s">
        <v>475</v>
      </c>
      <c r="C41" s="23" t="s">
        <v>502</v>
      </c>
      <c r="D41" s="23"/>
    </row>
    <row r="42" spans="1:4">
      <c r="A42" s="22" t="s">
        <v>497</v>
      </c>
      <c r="B42" s="17" t="s">
        <v>503</v>
      </c>
      <c r="C42" s="23" t="s">
        <v>504</v>
      </c>
      <c r="D42" s="23"/>
    </row>
    <row r="43" spans="1:4">
      <c r="A43" s="22" t="s">
        <v>497</v>
      </c>
      <c r="B43" s="17" t="s">
        <v>503</v>
      </c>
      <c r="C43" s="23" t="s">
        <v>505</v>
      </c>
      <c r="D43" s="23" t="s">
        <v>506</v>
      </c>
    </row>
    <row r="44" spans="1:4">
      <c r="A44" s="22" t="s">
        <v>507</v>
      </c>
      <c r="B44" s="17" t="s">
        <v>503</v>
      </c>
      <c r="C44" s="23" t="s">
        <v>508</v>
      </c>
      <c r="D44" s="23"/>
    </row>
  </sheetData>
  <autoFilter ref="A1:D4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Every discount level tested</vt:lpstr>
      <vt:lpstr>The decision in one line</vt:lpstr>
      <vt:lpstr>The range where the answer is t</vt:lpstr>
      <vt:lpstr>Recommended discount per deal (</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2026-09-21T18:46:54Z</dcterms:created>
  <dcterms:modified xsi:type="dcterms:W3CDTF">2026-09-21T18:46:54Z</dcterms:modified>
</cp:coreProperties>
</file>