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Assumptions" sheetId="8" r:id="rId8"/>
    <sheet name="Run log" sheetId="9" r:id="rId9"/>
  </sheets>
  <definedNames>
    <definedName name="_xlnm._FilterDatabase" localSheetId="4" hidden="1">'Quarter by quarter where the de'!$A$4:$G$10</definedName>
    <definedName name="_xlnm._FilterDatabase" localSheetId="8" hidden="1">'Run log'!$A$1:$D$25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<sst xmlns="http://schemas.openxmlformats.org/spreadsheetml/2006/main" count="343" uniqueCount="225">
  <si>
    <t>Simulation Arena</t>
  </si>
  <si>
    <t>Deal Aging &amp; Multi-Quarter Sales Cycles: The Pipeline Hopper</t>
  </si>
  <si>
    <t>Sales says quarter 2; the odds from your assumptions are 5.3% for closing then - 55.7% of the value slips past that date, and 27.0% never closes at all. Plan on $518k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</si>
  <si>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</si>
  <si>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</si>
  <si>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</si>
  <si>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</si>
  <si>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run_e4df5ae7458f</t>
  </si>
  <si>
    <t>Generated</t>
  </si>
  <si>
    <t>21 Sep 2026 20:01</t>
  </si>
  <si>
    <t>Scenarios tested</t>
  </si>
  <si>
    <t>600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</si>
  <si>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</si>
  <si>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</si>
  <si>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</si>
  <si>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</si>
  <si>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</si>
  <si>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</si>
  <si>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</si>
  <si>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</si>
  <si>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</si>
  <si>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</si>
  <si>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5.3%</t>
  </si>
  <si>
    <t>A slim chance the money actually lands in the quarter it was promised for.</t>
  </si>
  <si>
    <t>sales assumed 100%</t>
  </si>
  <si>
    <t>Chance it slips past that quarter</t>
  </si>
  <si>
    <t>55.7%</t>
  </si>
  <si>
    <t>The chance the deal does close, but later than the date sales promised.</t>
  </si>
  <si>
    <t>-</t>
  </si>
  <si>
    <t>Chance it dies instead</t>
  </si>
  <si>
    <t>27.0%</t>
  </si>
  <si>
    <t>The deal never closes - it stalls or the customer walks.</t>
  </si>
  <si>
    <t>18.3% still stuck in Legal at the end of the horizon</t>
  </si>
  <si>
    <t>What you can bank on by Q2</t>
  </si>
  <si>
    <t>$518k</t>
  </si>
  <si>
    <t>The deal value weighted by its real chance of arriving - 17.3% of $3.00M.</t>
  </si>
  <si>
    <t>Cash committed against odds</t>
  </si>
  <si>
    <t>$2.48M</t>
  </si>
  <si>
    <t>You are planning to spend $2.48M that has only a 17.3% chance of arriving.</t>
  </si>
  <si>
    <t>$3.00M promised vs $518k realistic</t>
  </si>
  <si>
    <t>Quarters until it really closes</t>
  </si>
  <si>
    <t>7.0</t>
  </si>
  <si>
    <t>On average, counted from today, for the deals that do close (6.6 quarters to a final yes or no).</t>
  </si>
  <si>
    <t>sales promised 2</t>
  </si>
  <si>
    <t>How long this deal has been sitting</t>
  </si>
  <si>
    <t>0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</si>
  <si>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</si>
  <si>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</si>
  <si>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</si>
  <si>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$518k and hold the rest back.</t>
  </si>
  <si>
    <t>Risk</t>
  </si>
  <si>
    <t>High</t>
  </si>
  <si>
    <t>Risk score</t>
  </si>
  <si>
    <t>91 out of 100</t>
  </si>
  <si>
    <t>Confidence</t>
  </si>
  <si>
    <t>Low</t>
  </si>
  <si>
    <t>Why</t>
  </si>
  <si>
    <t>1.</t>
  </si>
  <si>
    <t>The chance of closing in Q2 is 5.3%, not 100%.</t>
  </si>
  <si>
    <t>2.</t>
  </si>
  <si>
    <t>55.7% of the value arrives later than promised. and 27.0% never arrives at all.</t>
  </si>
  <si>
    <t>3.</t>
  </si>
  <si>
    <t>Planning on the full $3.00M commits $2.48M of cash against a 17.3% chance.</t>
  </si>
  <si>
    <t>4.</t>
  </si>
  <si>
    <t>Deal value $3.00M is carried at full weight by the forecast.</t>
  </si>
  <si>
    <t>What to do</t>
  </si>
  <si>
    <t>Action 1</t>
  </si>
  <si>
    <t>Put $518k in the Q2 plan and treat the remaining $2.48M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</si>
  <si>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</si>
  <si>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</si>
  <si>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</si>
  <si>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</si>
  <si>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</si>
  <si>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Put the deals sitting in Legal in front of the owner of that step: 18.3% are still there at the end of Q6.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</si>
  <si>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</si>
  <si>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</si>
  <si>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</si>
  <si>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</si>
  <si>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</si>
  <si>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</si>
  <si>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</si>
  <si>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</si>
  <si>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</si>
  <si>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</si>
  <si>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</si>
  <si>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</si>
  <si>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</si>
  <si>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</si>
  <si>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</si>
  <si>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</si>
  <si>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</si>
  <si>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</si>
  <si>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</si>
  <si>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</si>
  <si>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</si>
  <si>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</si>
  <si>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</si>
  <si>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</si>
  <si>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</si>
  <si>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</si>
  <si>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</si>
  <si>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44.0%</t>
  </si>
  <si>
    <t>39.6%</t>
  </si>
  <si>
    <t>0.0%</t>
  </si>
  <si>
    <t>12.0%</t>
  </si>
  <si>
    <t>4.4%</t>
  </si>
  <si>
    <t>19.4%</t>
  </si>
  <si>
    <t>37.2%</t>
  </si>
  <si>
    <t>17.8%</t>
  </si>
  <si>
    <t>17.3%</t>
  </si>
  <si>
    <t>8.3%</t>
  </si>
  <si>
    <t>8.5%</t>
  </si>
  <si>
    <t>26.3%</t>
  </si>
  <si>
    <t>25.7%</t>
  </si>
  <si>
    <t>8.0%</t>
  </si>
  <si>
    <t>19.6%</t>
  </si>
  <si>
    <t>11.9%</t>
  </si>
  <si>
    <t>3.7%</t>
  </si>
  <si>
    <t>16.5%</t>
  </si>
  <si>
    <t>24.7%</t>
  </si>
  <si>
    <t>15.6%</t>
  </si>
  <si>
    <t>24.2%</t>
  </si>
  <si>
    <t>15.3%</t>
  </si>
  <si>
    <t>1.6%</t>
  </si>
  <si>
    <t>9.7%</t>
  </si>
  <si>
    <t>19.8%</t>
  </si>
  <si>
    <t>18.9%</t>
  </si>
  <si>
    <t>31.7%</t>
  </si>
  <si>
    <t>18.3%</t>
  </si>
  <si>
    <t>0.73%</t>
  </si>
  <si>
    <t>5.5%</t>
  </si>
  <si>
    <t>14.3%</t>
  </si>
  <si>
    <t>40.4%</t>
  </si>
  <si>
    <t>20.8%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</si>
  <si>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</si>
  <si>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</si>
  <si>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</si>
  <si>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</si>
  <si>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</si>
  <si>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</si>
  <si>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</si>
  <si>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</si>
  <si>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</si>
  <si>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$360k</t>
  </si>
  <si>
    <t>$2.64M</t>
  </si>
  <si>
    <t>$158k</t>
  </si>
  <si>
    <t>2.3%</t>
  </si>
  <si>
    <t>$70k</t>
  </si>
  <si>
    <t>$588k</t>
  </si>
  <si>
    <t>$2.41M</t>
  </si>
  <si>
    <t>4.6%</t>
  </si>
  <si>
    <t>$139k</t>
  </si>
  <si>
    <t>$727k</t>
  </si>
  <si>
    <t>$2.27M</t>
  </si>
  <si>
    <t>7.5%</t>
  </si>
  <si>
    <t>$224k</t>
  </si>
  <si>
    <t>$951k</t>
  </si>
  <si>
    <t>$2.05M</t>
  </si>
  <si>
    <t>8.7%</t>
  </si>
  <si>
    <t>$261k</t>
  </si>
  <si>
    <t>$1.21M</t>
  </si>
  <si>
    <t>$1.79M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</si>
  <si>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</si>
  <si>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</si>
  <si>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</si>
  <si>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</si>
  <si>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</si>
  <si>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</si>
  <si>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</si>
  <si>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</si>
  <si>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15.1%</t>
  </si>
  <si>
    <t>36.7%</t>
  </si>
  <si>
    <t>Stale (over 4 quarters)</t>
  </si>
  <si>
    <t>10.6%</t>
  </si>
  <si>
    <t>60.0%</t>
  </si>
  <si>
    <t>This deal (0 quarters)</t>
  </si>
  <si>
    <t>The older a deal is, the lower it sits. The highlighted row is the age we used for the forecast above.</t>
  </si>
  <si>
    <t>Assumptions and caveats</t>
  </si>
  <si>
    <t>Watch</t>
  </si>
  <si>
    <t>!</t>
  </si>
  <si>
    <t>No usable deal-stage history was mapped, so these odds are your assumptions, not evidence. Upload a file with deal id, stage and quarter to make this real.</t>
  </si>
  <si>
    <t>27.0% of deals at this stage never close at all - they are not 'slipping', they are gone. Treat that part of the pipeline as zero.</t>
  </si>
  <si>
    <t>Assumed</t>
  </si>
  <si>
    <t>No usable history: board assumed as Initial RFP -&gt; Technical Review -&gt; CF Approval -&gt; Legal -&gt; Closed Won -&gt; Dead with 45.0% forward, 50.0% sitting still, 5.0% dying per step, and 12.0% fast-track wins.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</si>
  <si>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</si>
  <si>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0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</si>
  <si>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</si>
  <si>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</si>
  <si>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</si>
  <si>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No columns of your file were used - this run is entirely assumption-driven.</t>
  </si>
  <si>
    <t>Deal / opportunity ID -&gt; not in your file; not used</t>
  </si>
  <si>
    <t>Pipeline stage -&gt; not in your file; not used</t>
  </si>
  <si>
    <t>Stage order (1,2,3...) -&gt; not in your file; not used</t>
  </si>
  <si>
    <t>Quarter of this sighting -&gt; not in your file; not used</t>
  </si>
  <si>
    <t>Deal value -&gt; not in your file; not used</t>
  </si>
  <si>
    <t>Quarter the deal entered -&gt; not in your file; not used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</si>
  <si>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</si>
  <si>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</si>
  <si>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</si>
  <si>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</si>
  <si>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</si>
  <si>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</si>
  <si>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</si>
  <si>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</si>
  <si>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</si>
  <si>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'Deal / opportunity ID' column. We left it out and will work without it.</t>
  </si>
  <si>
    <t>We could not find a 'Pipeline stage' column. We left it out and will work without it.</t>
  </si>
  <si>
    <t>We could not find a 'Stage order (1,2,3...)' column. We left it out and will work without it.</t>
  </si>
  <si>
    <t>We could not find a 'Quarter of this sighting' column. We left it out and will work without it.</t>
  </si>
  <si>
    <t>We could not find a 'Deal value' column. We left it out and will work without it.</t>
  </si>
  <si>
    <t>We could not find a 'Quarter the deal entered' column. We left it out and will work without it.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</si>
  <si>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</si>
  <si>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</si>
  <si>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</si>
  <si>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</si>
  <si>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</si>
  <si>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</si>
  <si>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</si>
  <si>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how your deals have moved through the pipeline...</t>
  </si>
  <si>
    <t>No usable stage history, so we built the board from your assumptions: Initial RFP -&gt; Technical Review -&gt; CF Approval -&gt; Legal -&gt; Closed Won -&gt; Dead.</t>
  </si>
  <si>
    <t>Rolling the odds forward 6 quarters from 'Initial RFP'...</t>
  </si>
  <si>
    <t>summarize</t>
  </si>
  <si>
    <t>Sales says quarter 2. The odds from your assumptions are 5.3% for closing in that quarter.</t>
  </si>
  <si>
    <t>0.01s</t>
  </si>
  <si>
    <t>Done. Plan on $518k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</si>
</sst>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44</c:v>
                </c:pt>
                <c:pt idx="2">
                  <c:v>19.36</c:v>
                </c:pt>
                <c:pt idx="3">
                  <c:v>8.52</c:v>
                </c:pt>
                <c:pt idx="4">
                  <c:v>3.75</c:v>
                </c:pt>
                <c:pt idx="5">
                  <c:v>1.65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39.6</c:v>
                </c:pt>
                <c:pt idx="2">
                  <c:v>37.22</c:v>
                </c:pt>
                <c:pt idx="3">
                  <c:v>26.28</c:v>
                </c:pt>
                <c:pt idx="4">
                  <c:v>16.51</c:v>
                </c:pt>
                <c:pt idx="5">
                  <c:v>9.74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17.82</c:v>
                </c:pt>
                <c:pt idx="3">
                  <c:v>25.66</c:v>
                </c:pt>
                <c:pt idx="4">
                  <c:v>24.66</c:v>
                </c:pt>
                <c:pt idx="5">
                  <c:v>19.76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8.02</c:v>
                </c:pt>
                <c:pt idx="4">
                  <c:v>15.56</c:v>
                </c:pt>
                <c:pt idx="5">
                  <c:v>18.87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17.28</c:v>
                </c:pt>
                <c:pt idx="3">
                  <c:v>19.6</c:v>
                </c:pt>
                <c:pt idx="4">
                  <c:v>24.23</c:v>
                </c:pt>
                <c:pt idx="5">
                  <c:v>31.68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4.4</c:v>
                </c:pt>
                <c:pt idx="2">
                  <c:v>8.32</c:v>
                </c:pt>
                <c:pt idx="3">
                  <c:v>11.92</c:v>
                </c:pt>
                <c:pt idx="4">
                  <c:v>15.29</c:v>
                </c:pt>
                <c:pt idx="5">
                  <c:v>18.29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12</c:v>
                </c:pt>
                <c:pt idx="1">
                  <c:v>5.28</c:v>
                </c:pt>
                <c:pt idx="2">
                  <c:v>2.32</c:v>
                </c:pt>
                <c:pt idx="3">
                  <c:v>4.63</c:v>
                </c:pt>
                <c:pt idx="4">
                  <c:v>7.45</c:v>
                </c:pt>
                <c:pt idx="5">
                  <c:v>8.69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0.36</c:v>
                </c:pt>
                <c:pt idx="1">
                  <c:v>0.52</c:v>
                </c:pt>
                <c:pt idx="2">
                  <c:v>0.59</c:v>
                </c:pt>
                <c:pt idx="3">
                  <c:v>0.73</c:v>
                </c:pt>
                <c:pt idx="4">
                  <c:v>0.95</c:v>
                </c:pt>
                <c:pt idx="5">
                  <c:v>1.21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2" spans="1:2">
      <c r="A12" s="6" t="s">
        <v>63</v>
      </c>
      <c r="B12" s="3" t="s">
        <v>64</v>
      </c>
    </row>
    <row r="14" spans="1:2">
      <c r="A14" s="4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8" spans="1:2">
      <c r="A18" s="6" t="s">
        <v>72</v>
      </c>
      <c r="B18" s="3" t="s">
        <v>73</v>
      </c>
    </row>
    <row r="20" spans="1:2">
      <c r="A20" s="4" t="s">
        <v>74</v>
      </c>
    </row>
    <row r="21" spans="1:2">
      <c r="A21" s="6"/>
      <c r="B21" s="3" t="s">
        <v>75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77</v>
      </c>
      <c r="B1" s="8" t="s">
        <v>84</v>
      </c>
      <c r="C1" s="8" t="s">
        <v>85</v>
      </c>
      <c r="D1" s="8" t="s">
        <v>86</v>
      </c>
      <c r="E1" s="8" t="s">
        <v>87</v>
      </c>
      <c r="F1" s="8" t="s">
        <v>88</v>
      </c>
      <c r="G1" s="8" t="s">
        <v>89</v>
      </c>
      <c r="I1" s="8" t="s">
        <v>91</v>
      </c>
      <c r="J1" s="8" t="s">
        <v>92</v>
      </c>
      <c r="L1" s="8" t="s">
        <v>94</v>
      </c>
      <c r="M1" s="8" t="s">
        <v>95</v>
      </c>
      <c r="N1" s="8" t="s">
        <v>96</v>
      </c>
    </row>
    <row r="2" spans="1:14">
      <c r="A2" s="15" t="s">
        <v>78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78</v>
      </c>
      <c r="J2" s="15">
        <v>12</v>
      </c>
      <c r="L2" s="15" t="s">
        <v>78</v>
      </c>
      <c r="M2" s="15">
        <v>0.36</v>
      </c>
      <c r="N2" s="15">
        <v>3</v>
      </c>
    </row>
    <row r="3" spans="1:14">
      <c r="A3" s="15" t="s">
        <v>79</v>
      </c>
      <c r="B3" s="15">
        <v>44</v>
      </c>
      <c r="C3" s="15">
        <v>39.6</v>
      </c>
      <c r="D3" s="15">
        <v>0</v>
      </c>
      <c r="E3" s="15">
        <v>0</v>
      </c>
      <c r="F3" s="15">
        <v>12</v>
      </c>
      <c r="G3" s="15">
        <v>4.4</v>
      </c>
      <c r="I3" s="15" t="s">
        <v>79</v>
      </c>
      <c r="J3" s="15">
        <v>5.28</v>
      </c>
      <c r="L3" s="15" t="s">
        <v>79</v>
      </c>
      <c r="M3" s="15">
        <v>0.52</v>
      </c>
      <c r="N3" s="15">
        <v>3</v>
      </c>
    </row>
    <row r="4" spans="1:14">
      <c r="A4" s="15" t="s">
        <v>80</v>
      </c>
      <c r="B4" s="15">
        <v>19.36</v>
      </c>
      <c r="C4" s="15">
        <v>37.22</v>
      </c>
      <c r="D4" s="15">
        <v>17.82</v>
      </c>
      <c r="E4" s="15">
        <v>0</v>
      </c>
      <c r="F4" s="15">
        <v>17.28</v>
      </c>
      <c r="G4" s="15">
        <v>8.32</v>
      </c>
      <c r="I4" s="15" t="s">
        <v>80</v>
      </c>
      <c r="J4" s="15">
        <v>2.32</v>
      </c>
      <c r="L4" s="15" t="s">
        <v>80</v>
      </c>
      <c r="M4" s="15">
        <v>0.59</v>
      </c>
      <c r="N4" s="15">
        <v>3</v>
      </c>
    </row>
    <row r="5" spans="1:14">
      <c r="A5" s="15" t="s">
        <v>81</v>
      </c>
      <c r="B5" s="15">
        <v>8.52</v>
      </c>
      <c r="C5" s="15">
        <v>26.28</v>
      </c>
      <c r="D5" s="15">
        <v>25.66</v>
      </c>
      <c r="E5" s="15">
        <v>8.02</v>
      </c>
      <c r="F5" s="15">
        <v>19.6</v>
      </c>
      <c r="G5" s="15">
        <v>11.92</v>
      </c>
      <c r="I5" s="15" t="s">
        <v>81</v>
      </c>
      <c r="J5" s="15">
        <v>4.63</v>
      </c>
      <c r="L5" s="15" t="s">
        <v>81</v>
      </c>
      <c r="M5" s="15">
        <v>0.73</v>
      </c>
      <c r="N5" s="15">
        <v>3</v>
      </c>
    </row>
    <row r="6" spans="1:14">
      <c r="A6" s="15" t="s">
        <v>82</v>
      </c>
      <c r="B6" s="15">
        <v>3.75</v>
      </c>
      <c r="C6" s="15">
        <v>16.51</v>
      </c>
      <c r="D6" s="15">
        <v>24.66</v>
      </c>
      <c r="E6" s="15">
        <v>15.56</v>
      </c>
      <c r="F6" s="15">
        <v>24.23</v>
      </c>
      <c r="G6" s="15">
        <v>15.29</v>
      </c>
      <c r="I6" s="15" t="s">
        <v>82</v>
      </c>
      <c r="J6" s="15">
        <v>7.45</v>
      </c>
      <c r="L6" s="15" t="s">
        <v>82</v>
      </c>
      <c r="M6" s="15">
        <v>0.95</v>
      </c>
      <c r="N6" s="15">
        <v>3</v>
      </c>
    </row>
    <row r="7" spans="1:14">
      <c r="A7" s="15" t="s">
        <v>83</v>
      </c>
      <c r="B7" s="15">
        <v>1.65</v>
      </c>
      <c r="C7" s="15">
        <v>9.74</v>
      </c>
      <c r="D7" s="15">
        <v>19.76</v>
      </c>
      <c r="E7" s="15">
        <v>18.87</v>
      </c>
      <c r="F7" s="15">
        <v>31.68</v>
      </c>
      <c r="G7" s="15">
        <v>18.29</v>
      </c>
      <c r="I7" s="15" t="s">
        <v>83</v>
      </c>
      <c r="J7" s="15">
        <v>8.69</v>
      </c>
      <c r="L7" s="15" t="s">
        <v>83</v>
      </c>
      <c r="M7" s="15">
        <v>1.21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76</v>
      </c>
    </row>
    <row r="3" spans="2:2">
      <c r="B3" t="s">
        <v>77</v>
      </c>
    </row>
    <row r="4" spans="2:2">
      <c r="B4" s="17" t="s">
        <v>90</v>
      </c>
    </row>
    <row r="25" spans="2:2">
      <c r="B25" t="s">
        <v>91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84</v>
      </c>
      <c r="C4" s="8" t="s">
        <v>85</v>
      </c>
      <c r="D4" s="8" t="s">
        <v>86</v>
      </c>
      <c r="E4" s="8" t="s">
        <v>87</v>
      </c>
      <c r="F4" s="8" t="s">
        <v>88</v>
      </c>
      <c r="G4" s="8" t="s">
        <v>89</v>
      </c>
    </row>
    <row r="5" spans="1:7">
      <c r="A5" s="15" t="s">
        <v>78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79</v>
      </c>
      <c r="B6" s="15" t="s">
        <v>106</v>
      </c>
      <c r="C6" s="15" t="s">
        <v>107</v>
      </c>
      <c r="D6" s="15" t="s">
        <v>108</v>
      </c>
      <c r="E6" s="15" t="s">
        <v>103</v>
      </c>
      <c r="F6" s="15" t="s">
        <v>109</v>
      </c>
      <c r="G6" s="15" t="s">
        <v>110</v>
      </c>
    </row>
    <row r="7" spans="1:7">
      <c r="A7" s="15" t="s">
        <v>80</v>
      </c>
      <c r="B7" s="15" t="s">
        <v>111</v>
      </c>
      <c r="C7" s="15" t="s">
        <v>112</v>
      </c>
      <c r="D7" s="15" t="s">
        <v>113</v>
      </c>
      <c r="E7" s="15" t="s">
        <v>114</v>
      </c>
      <c r="F7" s="15" t="s">
        <v>115</v>
      </c>
      <c r="G7" s="15" t="s">
        <v>116</v>
      </c>
    </row>
    <row r="8" spans="1:7">
      <c r="A8" s="15" t="s">
        <v>81</v>
      </c>
      <c r="B8" s="15" t="s">
        <v>117</v>
      </c>
      <c r="C8" s="15" t="s">
        <v>118</v>
      </c>
      <c r="D8" s="15" t="s">
        <v>119</v>
      </c>
      <c r="E8" s="15" t="s">
        <v>120</v>
      </c>
      <c r="F8" s="15" t="s">
        <v>121</v>
      </c>
      <c r="G8" s="15" t="s">
        <v>122</v>
      </c>
    </row>
    <row r="9" spans="1:7">
      <c r="A9" s="15" t="s">
        <v>82</v>
      </c>
      <c r="B9" s="15" t="s">
        <v>123</v>
      </c>
      <c r="C9" s="15" t="s">
        <v>124</v>
      </c>
      <c r="D9" s="15" t="s">
        <v>125</v>
      </c>
      <c r="E9" s="15" t="s">
        <v>126</v>
      </c>
      <c r="F9" s="15" t="s">
        <v>127</v>
      </c>
      <c r="G9" s="15" t="s">
        <v>128</v>
      </c>
    </row>
    <row r="10" spans="1:7">
      <c r="A10" s="15" t="s">
        <v>83</v>
      </c>
      <c r="B10" s="15" t="s">
        <v>129</v>
      </c>
      <c r="C10" s="15" t="s">
        <v>130</v>
      </c>
      <c r="D10" s="15" t="s">
        <v>131</v>
      </c>
      <c r="E10" s="15" t="s">
        <v>128</v>
      </c>
      <c r="F10" s="15" t="s">
        <v>132</v>
      </c>
      <c r="G10" s="15" t="s">
        <v>133</v>
      </c>
    </row>
    <row r="12" spans="1:7">
      <c r="A12" s="18" t="s">
        <v>134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135</v>
      </c>
    </row>
    <row r="2" spans="1:7">
      <c r="A2" s="18" t="s">
        <v>136</v>
      </c>
    </row>
    <row r="4" spans="1:7" ht="24" customHeight="1">
      <c r="A4" s="8" t="s">
        <v>100</v>
      </c>
      <c r="B4" s="8" t="s">
        <v>137</v>
      </c>
      <c r="C4" s="8" t="s">
        <v>138</v>
      </c>
      <c r="D4" s="8" t="s">
        <v>139</v>
      </c>
      <c r="E4" s="8" t="s">
        <v>140</v>
      </c>
      <c r="F4" s="8" t="s">
        <v>141</v>
      </c>
      <c r="G4" s="8" t="s">
        <v>142</v>
      </c>
    </row>
    <row r="5" spans="1:7">
      <c r="A5" s="15" t="s">
        <v>78</v>
      </c>
      <c r="B5" s="15" t="s">
        <v>104</v>
      </c>
      <c r="C5" s="15" t="s">
        <v>143</v>
      </c>
      <c r="D5" s="15" t="s">
        <v>143</v>
      </c>
      <c r="E5" s="15" t="s">
        <v>104</v>
      </c>
      <c r="F5" s="15" t="s">
        <v>105</v>
      </c>
      <c r="G5" s="15" t="s">
        <v>144</v>
      </c>
    </row>
    <row r="6" spans="1:7">
      <c r="A6" s="19" t="s">
        <v>79</v>
      </c>
      <c r="B6" s="19" t="s">
        <v>22</v>
      </c>
      <c r="C6" s="19" t="s">
        <v>145</v>
      </c>
      <c r="D6" s="19" t="s">
        <v>34</v>
      </c>
      <c r="E6" s="19" t="s">
        <v>109</v>
      </c>
      <c r="F6" s="19" t="s">
        <v>110</v>
      </c>
      <c r="G6" s="19" t="s">
        <v>37</v>
      </c>
    </row>
    <row r="7" spans="1:7">
      <c r="A7" s="15" t="s">
        <v>80</v>
      </c>
      <c r="B7" s="15" t="s">
        <v>146</v>
      </c>
      <c r="C7" s="15" t="s">
        <v>147</v>
      </c>
      <c r="D7" s="15" t="s">
        <v>148</v>
      </c>
      <c r="E7" s="15" t="s">
        <v>115</v>
      </c>
      <c r="F7" s="15" t="s">
        <v>116</v>
      </c>
      <c r="G7" s="15" t="s">
        <v>149</v>
      </c>
    </row>
    <row r="8" spans="1:7">
      <c r="A8" s="15" t="s">
        <v>81</v>
      </c>
      <c r="B8" s="15" t="s">
        <v>150</v>
      </c>
      <c r="C8" s="15" t="s">
        <v>151</v>
      </c>
      <c r="D8" s="15" t="s">
        <v>152</v>
      </c>
      <c r="E8" s="15" t="s">
        <v>121</v>
      </c>
      <c r="F8" s="15" t="s">
        <v>122</v>
      </c>
      <c r="G8" s="15" t="s">
        <v>153</v>
      </c>
    </row>
    <row r="9" spans="1:7">
      <c r="A9" s="15" t="s">
        <v>82</v>
      </c>
      <c r="B9" s="15" t="s">
        <v>154</v>
      </c>
      <c r="C9" s="15" t="s">
        <v>155</v>
      </c>
      <c r="D9" s="15" t="s">
        <v>156</v>
      </c>
      <c r="E9" s="15" t="s">
        <v>127</v>
      </c>
      <c r="F9" s="15" t="s">
        <v>128</v>
      </c>
      <c r="G9" s="15" t="s">
        <v>157</v>
      </c>
    </row>
    <row r="10" spans="1:7">
      <c r="A10" s="15" t="s">
        <v>83</v>
      </c>
      <c r="B10" s="15" t="s">
        <v>158</v>
      </c>
      <c r="C10" s="15" t="s">
        <v>159</v>
      </c>
      <c r="D10" s="15" t="s">
        <v>160</v>
      </c>
      <c r="E10" s="15" t="s">
        <v>132</v>
      </c>
      <c r="F10" s="15" t="s">
        <v>133</v>
      </c>
      <c r="G10" s="15" t="s">
        <v>161</v>
      </c>
    </row>
    <row r="12" spans="1:7">
      <c r="A12" s="18" t="s">
        <v>162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163</v>
      </c>
    </row>
    <row r="2" spans="1:3">
      <c r="A2" s="18" t="s">
        <v>164</v>
      </c>
    </row>
    <row r="4" spans="1:3" ht="24" customHeight="1">
      <c r="A4" s="8" t="s">
        <v>165</v>
      </c>
      <c r="B4" s="8" t="s">
        <v>166</v>
      </c>
      <c r="C4" s="8" t="s">
        <v>167</v>
      </c>
    </row>
    <row r="5" spans="1:3">
      <c r="A5" s="15" t="s">
        <v>168</v>
      </c>
      <c r="B5" s="15" t="s">
        <v>109</v>
      </c>
      <c r="C5" s="15" t="s">
        <v>30</v>
      </c>
    </row>
    <row r="6" spans="1:3">
      <c r="A6" s="15" t="s">
        <v>169</v>
      </c>
      <c r="B6" s="15" t="s">
        <v>170</v>
      </c>
      <c r="C6" s="15" t="s">
        <v>171</v>
      </c>
    </row>
    <row r="7" spans="1:3">
      <c r="A7" s="15" t="s">
        <v>172</v>
      </c>
      <c r="B7" s="15" t="s">
        <v>173</v>
      </c>
      <c r="C7" s="15" t="s">
        <v>174</v>
      </c>
    </row>
    <row r="8" spans="1:3">
      <c r="A8" s="19" t="s">
        <v>175</v>
      </c>
      <c r="B8" s="19" t="s">
        <v>109</v>
      </c>
      <c r="C8" s="19" t="s">
        <v>30</v>
      </c>
    </row>
    <row r="10" spans="1:3">
      <c r="A10" s="18" t="s">
        <v>176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177</v>
      </c>
    </row>
    <row r="3" spans="1:2">
      <c r="A3" s="6" t="s">
        <v>178</v>
      </c>
    </row>
    <row r="4" spans="1:2">
      <c r="A4" s="6" t="s">
        <v>179</v>
      </c>
      <c r="B4" s="20" t="s">
        <v>180</v>
      </c>
    </row>
    <row r="5" spans="1:2">
      <c r="A5" s="6" t="s">
        <v>179</v>
      </c>
      <c r="B5" s="20" t="s">
        <v>181</v>
      </c>
    </row>
    <row r="7" spans="1:2">
      <c r="A7" s="6" t="s">
        <v>182</v>
      </c>
    </row>
    <row r="8" spans="1:2">
      <c r="A8" s="6">
        <v>1</v>
      </c>
      <c r="B8" s="3" t="s">
        <v>183</v>
      </c>
    </row>
    <row r="9" spans="1:2">
      <c r="A9" s="6">
        <v>2</v>
      </c>
      <c r="B9" s="3" t="s">
        <v>184</v>
      </c>
    </row>
    <row r="10" spans="1:2">
      <c r="A10" s="6">
        <v>3</v>
      </c>
      <c r="B10" s="3" t="s">
        <v>185</v>
      </c>
    </row>
    <row r="11" spans="1:2">
      <c r="A11" s="6">
        <v>4</v>
      </c>
      <c r="B11" s="3" t="s">
        <v>186</v>
      </c>
    </row>
    <row r="12" spans="1:2">
      <c r="A12" s="6">
        <v>5</v>
      </c>
      <c r="B12" s="3" t="s">
        <v>187</v>
      </c>
    </row>
    <row r="13" spans="1:2">
      <c r="A13" s="6">
        <v>6</v>
      </c>
      <c r="B13" s="3" t="s">
        <v>188</v>
      </c>
    </row>
    <row r="14" spans="1:2">
      <c r="A14" s="6">
        <v>7</v>
      </c>
      <c r="B14" s="3" t="s">
        <v>189</v>
      </c>
    </row>
    <row r="15" spans="1:2">
      <c r="A15" s="6">
        <v>8</v>
      </c>
      <c r="B15" s="3" t="s">
        <v>190</v>
      </c>
    </row>
    <row r="16" spans="1:2">
      <c r="A16" s="6">
        <v>9</v>
      </c>
      <c r="B16" s="3" t="s">
        <v>191</v>
      </c>
    </row>
    <row r="17" spans="1:2">
      <c r="A17" s="6">
        <v>10</v>
      </c>
      <c r="B17" s="3" t="s">
        <v>192</v>
      </c>
    </row>
    <row r="18" spans="1:2">
      <c r="A18" s="6">
        <v>11</v>
      </c>
      <c r="B18" s="3" t="s">
        <v>193</v>
      </c>
    </row>
    <row r="19" spans="1:2">
      <c r="A19" s="6">
        <v>12</v>
      </c>
      <c r="B19" s="3" t="s">
        <v>194</v>
      </c>
    </row>
    <row r="20" spans="1:2">
      <c r="A20" s="6">
        <v>13</v>
      </c>
      <c r="B20" s="3" t="s">
        <v>195</v>
      </c>
    </row>
    <row r="21" spans="1:2">
      <c r="A21" s="6">
        <v>14</v>
      </c>
      <c r="B21" s="3" t="s">
        <v>196</v>
      </c>
    </row>
    <row r="22" spans="1:2">
      <c r="A22" s="6">
        <v>15</v>
      </c>
      <c r="B22" s="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198</v>
      </c>
      <c r="B1" s="8" t="s">
        <v>199</v>
      </c>
      <c r="C1" s="8" t="s">
        <v>200</v>
      </c>
      <c r="D1" s="8" t="s">
        <v>201</v>
      </c>
    </row>
    <row r="2" spans="1:4">
      <c r="A2" s="21" t="s">
        <v>202</v>
      </c>
      <c r="B2" s="15" t="s">
        <v>203</v>
      </c>
      <c r="C2" s="22" t="s">
        <v>204</v>
      </c>
      <c r="D2" s="22"/>
    </row>
    <row r="3" spans="1:4">
      <c r="A3" s="21" t="s">
        <v>202</v>
      </c>
      <c r="B3" s="15" t="s">
        <v>203</v>
      </c>
      <c r="C3" s="22" t="s">
        <v>205</v>
      </c>
      <c r="D3" s="22"/>
    </row>
    <row r="4" spans="1:4">
      <c r="A4" s="21" t="s">
        <v>202</v>
      </c>
      <c r="B4" s="15" t="s">
        <v>203</v>
      </c>
      <c r="C4" s="22" t="s">
        <v>206</v>
      </c>
      <c r="D4" s="22"/>
    </row>
    <row r="5" spans="1:4">
      <c r="A5" s="21" t="s">
        <v>202</v>
      </c>
      <c r="B5" s="15" t="s">
        <v>203</v>
      </c>
      <c r="C5" s="22" t="s">
        <v>207</v>
      </c>
      <c r="D5" s="22"/>
    </row>
    <row r="6" spans="1:4">
      <c r="A6" s="21" t="s">
        <v>202</v>
      </c>
      <c r="B6" s="15" t="s">
        <v>203</v>
      </c>
      <c r="C6" s="22" t="s">
        <v>208</v>
      </c>
      <c r="D6" s="22"/>
    </row>
    <row r="7" spans="1:4">
      <c r="A7" s="21" t="s">
        <v>202</v>
      </c>
      <c r="B7" s="15" t="s">
        <v>203</v>
      </c>
      <c r="C7" s="22" t="s">
        <v>209</v>
      </c>
      <c r="D7" s="22"/>
    </row>
    <row r="8" spans="1:4">
      <c r="A8" s="21" t="s">
        <v>202</v>
      </c>
      <c r="B8" s="15" t="s">
        <v>203</v>
      </c>
      <c r="C8" s="22" t="s">
        <v>210</v>
      </c>
      <c r="D8" s="22"/>
    </row>
    <row r="9" spans="1:4">
      <c r="A9" s="21" t="s">
        <v>202</v>
      </c>
      <c r="B9" s="15" t="s">
        <v>203</v>
      </c>
      <c r="C9" s="22" t="s">
        <v>211</v>
      </c>
      <c r="D9" s="22"/>
    </row>
    <row r="10" spans="1:4">
      <c r="A10" s="21" t="s">
        <v>202</v>
      </c>
      <c r="B10" s="15" t="s">
        <v>203</v>
      </c>
      <c r="C10" s="22" t="s">
        <v>212</v>
      </c>
      <c r="D10" s="22"/>
    </row>
    <row r="11" spans="1:4">
      <c r="A11" s="21" t="s">
        <v>202</v>
      </c>
      <c r="B11" s="15" t="s">
        <v>203</v>
      </c>
      <c r="C11" s="22" t="s">
        <v>190</v>
      </c>
      <c r="D11" s="22" t="s">
        <v>213</v>
      </c>
    </row>
    <row r="12" spans="1:4">
      <c r="A12" s="21" t="s">
        <v>202</v>
      </c>
      <c r="B12" s="15" t="s">
        <v>203</v>
      </c>
      <c r="C12" s="22" t="s">
        <v>191</v>
      </c>
      <c r="D12" s="22" t="s">
        <v>213</v>
      </c>
    </row>
    <row r="13" spans="1:4">
      <c r="A13" s="21" t="s">
        <v>202</v>
      </c>
      <c r="B13" s="15" t="s">
        <v>203</v>
      </c>
      <c r="C13" s="22" t="s">
        <v>192</v>
      </c>
      <c r="D13" s="22" t="s">
        <v>213</v>
      </c>
    </row>
    <row r="14" spans="1:4">
      <c r="A14" s="21" t="s">
        <v>202</v>
      </c>
      <c r="B14" s="15" t="s">
        <v>203</v>
      </c>
      <c r="C14" s="22" t="s">
        <v>193</v>
      </c>
      <c r="D14" s="22" t="s">
        <v>213</v>
      </c>
    </row>
    <row r="15" spans="1:4">
      <c r="A15" s="21" t="s">
        <v>202</v>
      </c>
      <c r="B15" s="15" t="s">
        <v>203</v>
      </c>
      <c r="C15" s="22" t="s">
        <v>194</v>
      </c>
      <c r="D15" s="22" t="s">
        <v>213</v>
      </c>
    </row>
    <row r="16" spans="1:4">
      <c r="A16" s="21" t="s">
        <v>202</v>
      </c>
      <c r="B16" s="15" t="s">
        <v>203</v>
      </c>
      <c r="C16" s="22" t="s">
        <v>195</v>
      </c>
      <c r="D16" s="22" t="s">
        <v>213</v>
      </c>
    </row>
    <row r="17" spans="1:4">
      <c r="A17" s="21" t="s">
        <v>202</v>
      </c>
      <c r="B17" s="15" t="s">
        <v>203</v>
      </c>
      <c r="C17" s="22" t="s">
        <v>196</v>
      </c>
      <c r="D17" s="22" t="s">
        <v>213</v>
      </c>
    </row>
    <row r="18" spans="1:4">
      <c r="A18" s="21" t="s">
        <v>202</v>
      </c>
      <c r="B18" s="15" t="s">
        <v>203</v>
      </c>
      <c r="C18" s="22" t="s">
        <v>197</v>
      </c>
      <c r="D18" s="22" t="s">
        <v>213</v>
      </c>
    </row>
    <row r="19" spans="1:4">
      <c r="A19" s="21" t="s">
        <v>202</v>
      </c>
      <c r="B19" s="15" t="s">
        <v>203</v>
      </c>
      <c r="C19" s="22" t="s">
        <v>214</v>
      </c>
      <c r="D19" s="22"/>
    </row>
    <row r="20" spans="1:4">
      <c r="A20" s="21" t="s">
        <v>202</v>
      </c>
      <c r="B20" s="15" t="s">
        <v>215</v>
      </c>
      <c r="C20" s="22" t="s">
        <v>216</v>
      </c>
      <c r="D20" s="22"/>
    </row>
    <row r="21" spans="1:4">
      <c r="A21" s="21" t="s">
        <v>202</v>
      </c>
      <c r="B21" s="15" t="s">
        <v>217</v>
      </c>
      <c r="C21" s="22" t="s">
        <v>218</v>
      </c>
      <c r="D21" s="22"/>
    </row>
    <row r="22" spans="1:4">
      <c r="A22" s="21" t="s">
        <v>202</v>
      </c>
      <c r="B22" s="15" t="s">
        <v>203</v>
      </c>
      <c r="C22" s="22" t="s">
        <v>219</v>
      </c>
      <c r="D22" s="22"/>
    </row>
    <row r="23" spans="1:4">
      <c r="A23" s="21" t="s">
        <v>202</v>
      </c>
      <c r="B23" s="15" t="s">
        <v>215</v>
      </c>
      <c r="C23" s="22" t="s">
        <v>220</v>
      </c>
      <c r="D23" s="22"/>
    </row>
    <row r="24" spans="1:4">
      <c r="A24" s="21" t="s">
        <v>202</v>
      </c>
      <c r="B24" s="15" t="s">
        <v>221</v>
      </c>
      <c r="C24" s="22" t="s">
        <v>222</v>
      </c>
      <c r="D24" s="22"/>
    </row>
    <row r="25" spans="1:4">
      <c r="A25" s="21" t="s">
        <v>223</v>
      </c>
      <c r="B25" s="15" t="s">
        <v>221</v>
      </c>
      <c r="C25" s="22" t="s">
        <v>224</v>
      </c>
      <c r="D25" s="22"/>
    </row>
  </sheetData>
  <autoFilter ref="A1:D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2026-09-21T14:31:21Z</dcterms:created>
  <dcterms:modified xsi:type="dcterms:W3CDTF">2026-09-21T14:31:21Z</dcterms:modified>
</cp:coreProperties>
</file>