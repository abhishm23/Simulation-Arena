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log'!$A$1:$D$40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<sst xmlns="http://schemas.openxmlformats.org/spreadsheetml/2006/main" count="514" uniqueCount="347">
  <si>
    <t>Simulation Arena</t>
  </si>
  <si>
    <t>Margin Protection &amp; Floor Setting: Stress-Testing Cost Volatility</t>
  </si>
  <si>
    <t>With no price escalator there is a 18.4% chance (about 2 in 10) this contract breaks your 12% margin floor by Year 3 - a 2.5%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</si>
  <si>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</si>
  <si>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</si>
  <si>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</si>
  <si>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</si>
  <si>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run_db16e3a06527</t>
  </si>
  <si>
    <t>Generated</t>
  </si>
  <si>
    <t>21 Sep 2026 20:01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</si>
  <si>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</si>
  <si>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</si>
  <si>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</si>
  <si>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</si>
  <si>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</si>
  <si>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</si>
  <si>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</si>
  <si>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</si>
  <si>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</si>
  <si>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</si>
  <si>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</si>
  <si>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</si>
  <si>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18.4%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</si>
  <si>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</si>
  <si>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</si>
  <si>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</si>
  <si>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18.5%</t>
  </si>
  <si>
    <t>The odds that at least one of the years comes in below the floor.</t>
  </si>
  <si>
    <t>-</t>
  </si>
  <si>
    <t>Breakeven annual escalator</t>
  </si>
  <si>
    <t>2.5%</t>
  </si>
  <si>
    <t>A 2.5% annual escalator brings the risk inside your 10% tolerance.</t>
  </si>
  <si>
    <t>you are asking for 0.0%</t>
  </si>
  <si>
    <t>Expected margin in Year 3 (the worst year)</t>
  </si>
  <si>
    <t>20.3%</t>
  </si>
  <si>
    <t>Year 3 is where the floor is most at risk.</t>
  </si>
  <si>
    <t>you signed at 31.0%</t>
  </si>
  <si>
    <t>Margin at risk, in today's money</t>
  </si>
  <si>
    <t>$961k</t>
  </si>
  <si>
    <t>The profit you planned to book minus the profit this simulation says you will actually book, in today's money.</t>
  </si>
  <si>
    <t>planned $5.96M</t>
  </si>
  <si>
    <t>Chance the contract loses money in a year</t>
  </si>
  <si>
    <t>2.0%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</si>
  <si>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</si>
  <si>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</si>
  <si>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</si>
  <si>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</si>
  <si>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</si>
  <si>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3.8%</t>
  </si>
  <si>
    <t>How much final-year margin the escalator buys back.</t>
  </si>
  <si>
    <t>Recommendation</t>
  </si>
  <si>
    <t>Do not sign a frozen price. Add a 2.5% annual escalator plus a renegotiation trigger at Year 3.</t>
  </si>
  <si>
    <t>Risk</t>
  </si>
  <si>
    <t>Moderate</t>
  </si>
  <si>
    <t>Risk score</t>
  </si>
  <si>
    <t>62 out of 100</t>
  </si>
  <si>
    <t>Confidence</t>
  </si>
  <si>
    <t>High</t>
  </si>
  <si>
    <t>Why</t>
  </si>
  <si>
    <t>1.</t>
  </si>
  <si>
    <t>Expected margin falls from 31.0% in Year 1 to 20.3% by Year 3.</t>
  </si>
  <si>
    <t>2.</t>
  </si>
  <si>
    <t>Chance of breaking the 12% floor by Year 3: 18.4% against a tolerance of 10.0% (18.5% if you count every year).</t>
  </si>
  <si>
    <t>3.</t>
  </si>
  <si>
    <t>Margin at risk, in today's money: $961k of the $5.96M you planned to book.</t>
  </si>
  <si>
    <t>What to do</t>
  </si>
  <si>
    <t>Action 1</t>
  </si>
  <si>
    <t>Add an annual cost-of-living escalator of 2.5% to the price - that alone brings the chance of breaking the floor in Year 3 from 18.4% to 8.4%.</t>
  </si>
  <si>
    <t>Action 2</t>
  </si>
  <si>
    <t>Add a renegotiation trigger: if delivered margin is below 12% at the start of Year 3,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</si>
  <si>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</si>
  <si>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</si>
  <si>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</si>
  <si>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47.7% of the cost uncertainty.</t>
  </si>
  <si>
    <t>Trade-off</t>
  </si>
  <si>
    <t>Every point of escalator you win protects about $384k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</si>
  <si>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</si>
  <si>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</si>
  <si>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</si>
  <si>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</si>
  <si>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</si>
  <si>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</si>
  <si>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</si>
  <si>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</si>
  <si>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</si>
  <si>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</si>
  <si>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</si>
  <si>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-18.55</t>
  </si>
  <si>
    <t>-16.37</t>
  </si>
  <si>
    <t>-14.20</t>
  </si>
  <si>
    <t>-12.02</t>
  </si>
  <si>
    <t>-9.85</t>
  </si>
  <si>
    <t>-7.68</t>
  </si>
  <si>
    <t>-5.50</t>
  </si>
  <si>
    <t>-3.33</t>
  </si>
  <si>
    <t>-1.15</t>
  </si>
  <si>
    <t>1.02</t>
  </si>
  <si>
    <t>3.19</t>
  </si>
  <si>
    <t>5.37</t>
  </si>
  <si>
    <t>7.54</t>
  </si>
  <si>
    <t>9.72</t>
  </si>
  <si>
    <t>11.89</t>
  </si>
  <si>
    <t>14.06</t>
  </si>
  <si>
    <t>16.24</t>
  </si>
  <si>
    <t>18.41</t>
  </si>
  <si>
    <t>20.59</t>
  </si>
  <si>
    <t>22.76</t>
  </si>
  <si>
    <t>24.94</t>
  </si>
  <si>
    <t>27.11</t>
  </si>
  <si>
    <t>29.28</t>
  </si>
  <si>
    <t>31.46</t>
  </si>
  <si>
    <t>33.63</t>
  </si>
  <si>
    <t>35.81</t>
  </si>
  <si>
    <t>37.98</t>
  </si>
  <si>
    <t>40.15</t>
  </si>
  <si>
    <t>42.33</t>
  </si>
  <si>
    <t>44.50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</si>
  <si>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</si>
  <si>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</si>
  <si>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</si>
  <si>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</si>
  <si>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</si>
  <si>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</si>
  <si>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</si>
  <si>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</si>
  <si>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</si>
  <si>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</si>
  <si>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</si>
  <si>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</si>
  <si>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</si>
  <si>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$7,470,000</t>
  </si>
  <si>
    <t>$5,157,039</t>
  </si>
  <si>
    <t>31.0%</t>
  </si>
  <si>
    <t>$5,539,994</t>
  </si>
  <si>
    <t>25.8%</t>
  </si>
  <si>
    <t>15.7%</t>
  </si>
  <si>
    <t>35.6%</t>
  </si>
  <si>
    <t>1.7%</t>
  </si>
  <si>
    <t>0.1%</t>
  </si>
  <si>
    <t>$5,953,906</t>
  </si>
  <si>
    <t>4.8%</t>
  </si>
  <si>
    <t>33.8%</t>
  </si>
  <si>
    <t>1.9%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</si>
  <si>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</si>
  <si>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</si>
  <si>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</si>
  <si>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</si>
  <si>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</si>
  <si>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</si>
  <si>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</si>
  <si>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</si>
  <si>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</si>
  <si>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$5.00M</t>
  </si>
  <si>
    <t>too risky</t>
  </si>
  <si>
    <t>0.5%</t>
  </si>
  <si>
    <t>16.5%</t>
  </si>
  <si>
    <t>16.7%</t>
  </si>
  <si>
    <t>21.1%</t>
  </si>
  <si>
    <t>$5.09M</t>
  </si>
  <si>
    <t>1.0%</t>
  </si>
  <si>
    <t>14.5%</t>
  </si>
  <si>
    <t>14.8%</t>
  </si>
  <si>
    <t>21.9%</t>
  </si>
  <si>
    <t>$5.18M</t>
  </si>
  <si>
    <t>1.5%</t>
  </si>
  <si>
    <t>12.2%</t>
  </si>
  <si>
    <t>12.6%</t>
  </si>
  <si>
    <t>22.6%</t>
  </si>
  <si>
    <t>$5.28M</t>
  </si>
  <si>
    <t>10.3%</t>
  </si>
  <si>
    <t>10.5%</t>
  </si>
  <si>
    <t>23.4%</t>
  </si>
  <si>
    <t>$5.37M</t>
  </si>
  <si>
    <t>8.4%</t>
  </si>
  <si>
    <t>8.5%</t>
  </si>
  <si>
    <t>24.1%</t>
  </si>
  <si>
    <t>$5.46M</t>
  </si>
  <si>
    <t>inside tolerance</t>
  </si>
  <si>
    <t>3.0%</t>
  </si>
  <si>
    <t>6.5%</t>
  </si>
  <si>
    <t>6.6%</t>
  </si>
  <si>
    <t>24.9%</t>
  </si>
  <si>
    <t>$5.55M</t>
  </si>
  <si>
    <t>3.5%</t>
  </si>
  <si>
    <t>5.8%</t>
  </si>
  <si>
    <t>6.1%</t>
  </si>
  <si>
    <t>25.6%</t>
  </si>
  <si>
    <t>$5.65M</t>
  </si>
  <si>
    <t>4.0%</t>
  </si>
  <si>
    <t>5.0%</t>
  </si>
  <si>
    <t>5.5%</t>
  </si>
  <si>
    <t>26.3%</t>
  </si>
  <si>
    <t>$5.74M</t>
  </si>
  <si>
    <t>4.5%</t>
  </si>
  <si>
    <t>4.2%</t>
  </si>
  <si>
    <t>4.6%</t>
  </si>
  <si>
    <t>27.0%</t>
  </si>
  <si>
    <t>$5.83M</t>
  </si>
  <si>
    <t>27.7%</t>
  </si>
  <si>
    <t>$5.93M</t>
  </si>
  <si>
    <t>2.8%</t>
  </si>
  <si>
    <t>3.1%</t>
  </si>
  <si>
    <t>28.4%</t>
  </si>
  <si>
    <t>$6.02M</t>
  </si>
  <si>
    <t>6.0%</t>
  </si>
  <si>
    <t>2.3%</t>
  </si>
  <si>
    <t>2.6%</t>
  </si>
  <si>
    <t>29.1%</t>
  </si>
  <si>
    <t>$6.12M</t>
  </si>
  <si>
    <t>2.2%</t>
  </si>
  <si>
    <t>29.7%</t>
  </si>
  <si>
    <t>$6.21M</t>
  </si>
  <si>
    <t>7.0%</t>
  </si>
  <si>
    <t>30.4%</t>
  </si>
  <si>
    <t>$6.31M</t>
  </si>
  <si>
    <t>7.5%</t>
  </si>
  <si>
    <t>1.6%</t>
  </si>
  <si>
    <t>$6.40M</t>
  </si>
  <si>
    <t>8.0%</t>
  </si>
  <si>
    <t>1.2%</t>
  </si>
  <si>
    <t>31.7%</t>
  </si>
  <si>
    <t>$6.50M</t>
  </si>
  <si>
    <t>The highlighted row is the first one marked 'inside tolerance' - that is the escalator to ask for.</t>
  </si>
  <si>
    <t>What goes into the model</t>
  </si>
  <si>
    <t>Cost mix from 4 cost lines observed across 4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</si>
  <si>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</si>
  <si>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</si>
  <si>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</si>
  <si>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</si>
  <si>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</si>
  <si>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</si>
  <si>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</si>
  <si>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</si>
  <si>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30.3%</t>
  </si>
  <si>
    <t>$1,562,709</t>
  </si>
  <si>
    <t>9.6%</t>
  </si>
  <si>
    <t>22.0%</t>
  </si>
  <si>
    <t>47.7%</t>
  </si>
  <si>
    <t>$360,611</t>
  </si>
  <si>
    <t>Third-party Licensing</t>
  </si>
  <si>
    <t>21.8%</t>
  </si>
  <si>
    <t>$1,124,574</t>
  </si>
  <si>
    <t>7.1%</t>
  </si>
  <si>
    <t>12.0%</t>
  </si>
  <si>
    <t>6.4%</t>
  </si>
  <si>
    <t>$173,563</t>
  </si>
  <si>
    <t>Labor</t>
  </si>
  <si>
    <t>37.9%</t>
  </si>
  <si>
    <t>$1,954,101</t>
  </si>
  <si>
    <t>9.0%</t>
  </si>
  <si>
    <t>9.7%</t>
  </si>
  <si>
    <t>$191,769</t>
  </si>
  <si>
    <t>Logistics</t>
  </si>
  <si>
    <t>10.0%</t>
  </si>
  <si>
    <t>$515,655</t>
  </si>
  <si>
    <t>18.0%</t>
  </si>
  <si>
    <t>2.9%</t>
  </si>
  <si>
    <t>$62,502</t>
  </si>
  <si>
    <t>Currency</t>
  </si>
  <si>
    <t>0%</t>
  </si>
  <si>
    <t>33.3%</t>
  </si>
  <si>
    <t>$10,712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</si>
  <si>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</si>
  <si>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</si>
  <si>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</si>
  <si>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</si>
  <si>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</si>
  <si>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</si>
  <si>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</si>
  <si>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</si>
  <si>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-10.7%</t>
  </si>
  <si>
    <t>$5.96M</t>
  </si>
  <si>
    <t>-$961k</t>
  </si>
  <si>
    <t>Row 3 is the value at risk from cost volatility.</t>
  </si>
  <si>
    <t>Assumptions and caveats</t>
  </si>
  <si>
    <t>Watch</t>
  </si>
  <si>
    <t>!</t>
  </si>
  <si>
    <t>With no escalator there is roughly a 1 in 5 chance of breaking your 12% floor by Year 3 - that is the whole risk of a frozen price.</t>
  </si>
  <si>
    <t>Your file shows Cloud Hosting, Third-party Licensing, Labor, Logistics moving too smoothly to measure a real swing from, so we kept your volatility setting for them rather than reading near-zero risk off a short history.</t>
  </si>
  <si>
    <t>Your file reports an average margin of 31.0%, so that - not the 15.0% you typed - sets year-1 cost. If you meant the figure you typed, clear the margin column from the mapping and run again.</t>
  </si>
  <si>
    <t>Contract value was read from your file ($7.47M average), overriding the $8.00M you typed.</t>
  </si>
  <si>
    <t>Assumed</t>
  </si>
  <si>
    <t>Contract: $7,470,000 billed per year for 3 years, starting margin 31.0%, so year-1 cost is $5,157,039.</t>
  </si>
  <si>
    <t>Cost mix: 4 cost lines observed across 4 years in your file - Cloud Hosting 30.3% of cost, drift 9.6% per year, volatility 22.0%, Third-party Licensing 21.8% of cost, drift 7.1% per year, volatility 12.0%, Labor 37.9% of cost, drift 4.6% per year, volatility 9.0%, Logistics 10.0% of cost, drift 5.0%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</si>
  <si>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</si>
  <si>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</si>
  <si>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</si>
  <si>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</si>
  <si>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</si>
  <si>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</si>
  <si>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</si>
  <si>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</si>
  <si>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</si>
  <si>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</si>
  <si>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</si>
  <si>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</si>
  <si>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</si>
  <si>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</si>
  <si>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</si>
  <si>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</si>
  <si>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</si>
  <si>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</si>
  <si>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</si>
  <si>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</si>
  <si>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</si>
  <si>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</si>
  <si>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</si>
  <si>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</si>
  <si>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</si>
  <si>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120 rows and 7 columns.</t>
  </si>
  <si>
    <t>source: contract_costs.csv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</si>
  <si>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</si>
  <si>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</si>
  <si>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</si>
  <si>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</si>
  <si>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</si>
  <si>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</si>
  <si>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</si>
  <si>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</si>
  <si>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</si>
  <si>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</si>
  <si>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Read 120 records into the model.</t>
  </si>
  <si>
    <t>simulate</t>
  </si>
  <si>
    <t>Running the simulation…</t>
  </si>
  <si>
    <t>read</t>
  </si>
  <si>
    <t>Reading the contract and how its cost is built up...</t>
  </si>
  <si>
    <t>Learned the cost mix and its drift from your file: 4 cost lines across 4 years.</t>
  </si>
  <si>
    <t>Cloud Hosting drift 9.6%/yr, swing 22%; Third-party Licensing drift 7.1%/yr, swing 12%; Labor drift 4.6%/yr, swing 9%; Logistics drift 5.0%/yr, swing 18%</t>
  </si>
  <si>
    <t>Your file shows 4 cost line(s) moving too smoothly to measure a swing from (Cloud Hosting, Third-party Licensing, Labor, Logistics), so we kept the volatility you typed in for them.</t>
  </si>
  <si>
    <t>Year 1: you bill $7.47M and it costs you $5.16M - a 31.0% margin.</t>
  </si>
  <si>
    <t>cost mix: Cloud Hosting 30.3%, Third-party Licensing 21.8%, Labor 37.9%, Logistics 10.0%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</si>
  <si>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</si>
  <si>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</si>
  <si>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</si>
  <si>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</si>
  <si>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</si>
  <si>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</si>
  <si>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</si>
  <si>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</si>
  <si>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</si>
  <si>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</si>
  <si>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</si>
  <si>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</si>
  <si>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</si>
  <si>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</si>
  <si>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2.5% annual escalator brings the risk inside your 10% tolerance.</t>
  </si>
  <si>
    <t>Done. 18.4% chance of breaking the floor by Year 3; you need a 2.5%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</si>
</sst>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5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30.96</c:v>
                </c:pt>
                <c:pt idx="1">
                  <c:v>15.68</c:v>
                </c:pt>
                <c:pt idx="2">
                  <c:v>4.82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30.96</c:v>
                </c:pt>
                <c:pt idx="1">
                  <c:v>26.03</c:v>
                </c:pt>
                <c:pt idx="2">
                  <c:v>20.75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30.96</c:v>
                </c:pt>
                <c:pt idx="1">
                  <c:v>35.57</c:v>
                </c:pt>
                <c:pt idx="2">
                  <c:v>33.83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-18.55</c:v>
                </c:pt>
                <c:pt idx="1">
                  <c:v>-16.37</c:v>
                </c:pt>
                <c:pt idx="2">
                  <c:v>-14.20</c:v>
                </c:pt>
                <c:pt idx="3">
                  <c:v>-12.02</c:v>
                </c:pt>
                <c:pt idx="4">
                  <c:v>-9.85</c:v>
                </c:pt>
                <c:pt idx="5">
                  <c:v>-7.68</c:v>
                </c:pt>
                <c:pt idx="6">
                  <c:v>-5.50</c:v>
                </c:pt>
                <c:pt idx="7">
                  <c:v>-3.33</c:v>
                </c:pt>
                <c:pt idx="8">
                  <c:v>-1.15</c:v>
                </c:pt>
                <c:pt idx="9">
                  <c:v>1.02</c:v>
                </c:pt>
                <c:pt idx="10">
                  <c:v>3.19</c:v>
                </c:pt>
                <c:pt idx="11">
                  <c:v>5.37</c:v>
                </c:pt>
                <c:pt idx="12">
                  <c:v>7.54</c:v>
                </c:pt>
                <c:pt idx="13">
                  <c:v>9.72</c:v>
                </c:pt>
                <c:pt idx="14">
                  <c:v>11.89</c:v>
                </c:pt>
                <c:pt idx="15">
                  <c:v>14.06</c:v>
                </c:pt>
                <c:pt idx="16">
                  <c:v>16.24</c:v>
                </c:pt>
                <c:pt idx="17">
                  <c:v>18.41</c:v>
                </c:pt>
                <c:pt idx="18">
                  <c:v>20.59</c:v>
                </c:pt>
                <c:pt idx="19">
                  <c:v>22.76</c:v>
                </c:pt>
                <c:pt idx="20">
                  <c:v>24.94</c:v>
                </c:pt>
                <c:pt idx="21">
                  <c:v>27.11</c:v>
                </c:pt>
                <c:pt idx="22">
                  <c:v>29.28</c:v>
                </c:pt>
                <c:pt idx="23">
                  <c:v>31.46</c:v>
                </c:pt>
                <c:pt idx="24">
                  <c:v>33.63</c:v>
                </c:pt>
                <c:pt idx="25">
                  <c:v>35.81</c:v>
                </c:pt>
                <c:pt idx="26">
                  <c:v>37.98</c:v>
                </c:pt>
                <c:pt idx="27">
                  <c:v>40.15</c:v>
                </c:pt>
                <c:pt idx="28">
                  <c:v>42.33</c:v>
                </c:pt>
                <c:pt idx="29">
                  <c:v>44.50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16</c:v>
                </c:pt>
                <c:pt idx="11">
                  <c:v>20</c:v>
                </c:pt>
                <c:pt idx="12">
                  <c:v>43</c:v>
                </c:pt>
                <c:pt idx="13">
                  <c:v>51</c:v>
                </c:pt>
                <c:pt idx="14">
                  <c:v>54</c:v>
                </c:pt>
                <c:pt idx="15">
                  <c:v>78</c:v>
                </c:pt>
                <c:pt idx="16">
                  <c:v>73</c:v>
                </c:pt>
                <c:pt idx="17">
                  <c:v>80</c:v>
                </c:pt>
                <c:pt idx="18">
                  <c:v>88</c:v>
                </c:pt>
                <c:pt idx="19">
                  <c:v>108</c:v>
                </c:pt>
                <c:pt idx="20">
                  <c:v>73</c:v>
                </c:pt>
                <c:pt idx="21">
                  <c:v>66</c:v>
                </c:pt>
                <c:pt idx="22">
                  <c:v>74</c:v>
                </c:pt>
                <c:pt idx="23">
                  <c:v>72</c:v>
                </c:pt>
                <c:pt idx="24">
                  <c:v>38</c:v>
                </c:pt>
                <c:pt idx="25">
                  <c:v>17</c:v>
                </c:pt>
                <c:pt idx="26">
                  <c:v>9</c:v>
                </c:pt>
                <c:pt idx="27">
                  <c:v>4</c:v>
                </c:pt>
                <c:pt idx="28">
                  <c:v>6</c:v>
                </c:pt>
                <c:pt idx="29">
                  <c:v>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1.7</c:v>
                </c:pt>
                <c:pt idx="2">
                  <c:v>18.4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3" t="s">
        <v>33</v>
      </c>
      <c r="B20" s="14" t="s">
        <v>34</v>
      </c>
      <c r="C20" s="13" t="s">
        <v>35</v>
      </c>
      <c r="D20" s="13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15" t="s">
        <v>41</v>
      </c>
      <c r="B22" s="16" t="s">
        <v>42</v>
      </c>
      <c r="C22" s="15" t="s">
        <v>43</v>
      </c>
      <c r="D22" s="15" t="s">
        <v>28</v>
      </c>
    </row>
    <row r="23" spans="1:4">
      <c r="A23" s="15" t="s">
        <v>44</v>
      </c>
      <c r="B23" s="16" t="s">
        <v>45</v>
      </c>
      <c r="C23" s="15" t="s">
        <v>46</v>
      </c>
      <c r="D23" s="15" t="s">
        <v>28</v>
      </c>
    </row>
    <row r="24" spans="1:4">
      <c r="A24" s="11" t="s">
        <v>47</v>
      </c>
      <c r="B24" s="12" t="s">
        <v>48</v>
      </c>
      <c r="C24" s="11" t="s">
        <v>49</v>
      </c>
      <c r="D24" s="11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57</v>
      </c>
    </row>
    <row r="8" spans="1:2">
      <c r="A8" s="4" t="s">
        <v>58</v>
      </c>
    </row>
    <row r="9" spans="1:2">
      <c r="A9" s="6" t="s">
        <v>59</v>
      </c>
      <c r="B9" s="3" t="s">
        <v>60</v>
      </c>
    </row>
    <row r="10" spans="1:2">
      <c r="A10" s="6" t="s">
        <v>61</v>
      </c>
      <c r="B10" s="3" t="s">
        <v>62</v>
      </c>
    </row>
    <row r="11" spans="1:2">
      <c r="A11" s="6" t="s">
        <v>63</v>
      </c>
      <c r="B11" s="3" t="s">
        <v>64</v>
      </c>
    </row>
    <row r="13" spans="1:2">
      <c r="A13" s="4" t="s">
        <v>65</v>
      </c>
    </row>
    <row r="14" spans="1:2">
      <c r="A14" s="6" t="s">
        <v>66</v>
      </c>
      <c r="B14" s="3" t="s">
        <v>67</v>
      </c>
    </row>
    <row r="15" spans="1:2">
      <c r="A15" s="6" t="s">
        <v>68</v>
      </c>
      <c r="B15" s="3" t="s">
        <v>69</v>
      </c>
    </row>
    <row r="16" spans="1:2">
      <c r="A16" s="6" t="s">
        <v>70</v>
      </c>
      <c r="B16" s="3" t="s">
        <v>71</v>
      </c>
    </row>
    <row r="17" spans="1:2">
      <c r="A17" s="6" t="s">
        <v>72</v>
      </c>
      <c r="B17" s="3" t="s">
        <v>73</v>
      </c>
    </row>
    <row r="19" spans="1:2">
      <c r="A19" s="4" t="s">
        <v>74</v>
      </c>
    </row>
    <row r="20" spans="1:2">
      <c r="A20" s="6"/>
      <c r="B20" s="3" t="s">
        <v>75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77</v>
      </c>
      <c r="B1" s="8" t="s">
        <v>81</v>
      </c>
      <c r="C1" s="8" t="s">
        <v>82</v>
      </c>
      <c r="D1" s="8" t="s">
        <v>83</v>
      </c>
      <c r="E1" s="8" t="s">
        <v>84</v>
      </c>
      <c r="G1" s="8" t="s">
        <v>86</v>
      </c>
      <c r="H1" s="8" t="s">
        <v>117</v>
      </c>
      <c r="J1" s="8" t="s">
        <v>119</v>
      </c>
      <c r="K1" s="8" t="s">
        <v>120</v>
      </c>
    </row>
    <row r="2" spans="1:11">
      <c r="A2" s="17" t="s">
        <v>78</v>
      </c>
      <c r="B2" s="17">
        <v>30.96</v>
      </c>
      <c r="C2" s="17">
        <v>30.96</v>
      </c>
      <c r="D2" s="17">
        <v>30.96</v>
      </c>
      <c r="E2" s="17">
        <v>12</v>
      </c>
      <c r="G2" s="17" t="s">
        <v>87</v>
      </c>
      <c r="H2" s="17">
        <v>1</v>
      </c>
      <c r="J2" s="17" t="s">
        <v>78</v>
      </c>
      <c r="K2" s="17">
        <v>0</v>
      </c>
    </row>
    <row r="3" spans="1:11">
      <c r="A3" s="17" t="s">
        <v>79</v>
      </c>
      <c r="B3" s="17">
        <v>15.68</v>
      </c>
      <c r="C3" s="17">
        <v>26.03</v>
      </c>
      <c r="D3" s="17">
        <v>35.57</v>
      </c>
      <c r="E3" s="17">
        <v>12</v>
      </c>
      <c r="G3" s="17" t="s">
        <v>88</v>
      </c>
      <c r="H3" s="17">
        <v>2</v>
      </c>
      <c r="J3" s="17" t="s">
        <v>79</v>
      </c>
      <c r="K3" s="17">
        <v>1.7</v>
      </c>
    </row>
    <row r="4" spans="1:11">
      <c r="A4" s="17" t="s">
        <v>80</v>
      </c>
      <c r="B4" s="17">
        <v>4.82</v>
      </c>
      <c r="C4" s="17">
        <v>20.75</v>
      </c>
      <c r="D4" s="17">
        <v>33.83</v>
      </c>
      <c r="E4" s="17">
        <v>12</v>
      </c>
      <c r="G4" s="17" t="s">
        <v>89</v>
      </c>
      <c r="H4" s="17">
        <v>1</v>
      </c>
      <c r="J4" s="17" t="s">
        <v>80</v>
      </c>
      <c r="K4" s="17">
        <v>18.4</v>
      </c>
    </row>
    <row r="5" spans="1:11">
      <c r="G5" s="17" t="s">
        <v>90</v>
      </c>
      <c r="H5" s="17">
        <v>1</v>
      </c>
    </row>
    <row r="6" spans="1:11">
      <c r="G6" s="17" t="s">
        <v>91</v>
      </c>
      <c r="H6" s="17">
        <v>0</v>
      </c>
    </row>
    <row r="7" spans="1:11">
      <c r="G7" s="17" t="s">
        <v>92</v>
      </c>
      <c r="H7" s="17">
        <v>1</v>
      </c>
    </row>
    <row r="8" spans="1:11">
      <c r="G8" s="17" t="s">
        <v>93</v>
      </c>
      <c r="H8" s="17">
        <v>2</v>
      </c>
    </row>
    <row r="9" spans="1:11">
      <c r="G9" s="17" t="s">
        <v>94</v>
      </c>
      <c r="H9" s="17">
        <v>5</v>
      </c>
    </row>
    <row r="10" spans="1:11">
      <c r="G10" s="17" t="s">
        <v>95</v>
      </c>
      <c r="H10" s="17">
        <v>6</v>
      </c>
    </row>
    <row r="11" spans="1:11">
      <c r="G11" s="17" t="s">
        <v>96</v>
      </c>
      <c r="H11" s="17">
        <v>9</v>
      </c>
    </row>
    <row r="12" spans="1:11">
      <c r="G12" s="17" t="s">
        <v>97</v>
      </c>
      <c r="H12" s="17">
        <v>16</v>
      </c>
    </row>
    <row r="13" spans="1:11">
      <c r="G13" s="17" t="s">
        <v>98</v>
      </c>
      <c r="H13" s="17">
        <v>20</v>
      </c>
    </row>
    <row r="14" spans="1:11">
      <c r="G14" s="17" t="s">
        <v>99</v>
      </c>
      <c r="H14" s="17">
        <v>43</v>
      </c>
    </row>
    <row r="15" spans="1:11">
      <c r="G15" s="17" t="s">
        <v>100</v>
      </c>
      <c r="H15" s="17">
        <v>51</v>
      </c>
    </row>
    <row r="16" spans="1:11">
      <c r="G16" s="17" t="s">
        <v>101</v>
      </c>
      <c r="H16" s="17">
        <v>54</v>
      </c>
    </row>
    <row r="17" spans="7:8">
      <c r="G17" s="17" t="s">
        <v>102</v>
      </c>
      <c r="H17" s="17">
        <v>78</v>
      </c>
    </row>
    <row r="18" spans="7:8">
      <c r="G18" s="17" t="s">
        <v>103</v>
      </c>
      <c r="H18" s="17">
        <v>73</v>
      </c>
    </row>
    <row r="19" spans="7:8">
      <c r="G19" s="17" t="s">
        <v>104</v>
      </c>
      <c r="H19" s="17">
        <v>80</v>
      </c>
    </row>
    <row r="20" spans="7:8">
      <c r="G20" s="17" t="s">
        <v>105</v>
      </c>
      <c r="H20" s="17">
        <v>88</v>
      </c>
    </row>
    <row r="21" spans="7:8">
      <c r="G21" s="17" t="s">
        <v>106</v>
      </c>
      <c r="H21" s="17">
        <v>108</v>
      </c>
    </row>
    <row r="22" spans="7:8">
      <c r="G22" s="17" t="s">
        <v>107</v>
      </c>
      <c r="H22" s="17">
        <v>73</v>
      </c>
    </row>
    <row r="23" spans="7:8">
      <c r="G23" s="17" t="s">
        <v>108</v>
      </c>
      <c r="H23" s="17">
        <v>66</v>
      </c>
    </row>
    <row r="24" spans="7:8">
      <c r="G24" s="17" t="s">
        <v>109</v>
      </c>
      <c r="H24" s="17">
        <v>74</v>
      </c>
    </row>
    <row r="25" spans="7:8">
      <c r="G25" s="17" t="s">
        <v>110</v>
      </c>
      <c r="H25" s="17">
        <v>72</v>
      </c>
    </row>
    <row r="26" spans="7:8">
      <c r="G26" s="17" t="s">
        <v>111</v>
      </c>
      <c r="H26" s="17">
        <v>38</v>
      </c>
    </row>
    <row r="27" spans="7:8">
      <c r="G27" s="17" t="s">
        <v>112</v>
      </c>
      <c r="H27" s="17">
        <v>17</v>
      </c>
    </row>
    <row r="28" spans="7:8">
      <c r="G28" s="17" t="s">
        <v>113</v>
      </c>
      <c r="H28" s="17">
        <v>9</v>
      </c>
    </row>
    <row r="29" spans="7:8">
      <c r="G29" s="17" t="s">
        <v>114</v>
      </c>
      <c r="H29" s="17">
        <v>4</v>
      </c>
    </row>
    <row r="30" spans="7:8">
      <c r="G30" s="17" t="s">
        <v>115</v>
      </c>
      <c r="H30" s="17">
        <v>6</v>
      </c>
    </row>
    <row r="31" spans="7:8">
      <c r="G31" s="17" t="s">
        <v>116</v>
      </c>
      <c r="H31" s="1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76</v>
      </c>
    </row>
    <row r="3" spans="2:2">
      <c r="B3" t="s">
        <v>77</v>
      </c>
    </row>
    <row r="4" spans="2:2">
      <c r="B4" s="19" t="s">
        <v>85</v>
      </c>
    </row>
    <row r="25" spans="2:2">
      <c r="B25" t="s">
        <v>86</v>
      </c>
    </row>
    <row r="26" spans="2:2">
      <c r="B26" s="19" t="s">
        <v>118</v>
      </c>
    </row>
    <row r="47" spans="2:2">
      <c r="B47" t="s">
        <v>119</v>
      </c>
    </row>
    <row r="48" spans="2:2">
      <c r="B48" s="19" t="s">
        <v>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122</v>
      </c>
    </row>
    <row r="2" spans="1:8">
      <c r="A2" s="20" t="s">
        <v>123</v>
      </c>
    </row>
    <row r="4" spans="1:8" ht="24" customHeight="1">
      <c r="A4" s="8" t="s">
        <v>124</v>
      </c>
      <c r="B4" s="8" t="s">
        <v>125</v>
      </c>
      <c r="C4" s="8" t="s">
        <v>126</v>
      </c>
      <c r="D4" s="8" t="s">
        <v>127</v>
      </c>
      <c r="E4" s="8" t="s">
        <v>81</v>
      </c>
      <c r="F4" s="8" t="s">
        <v>83</v>
      </c>
      <c r="G4" s="8" t="s">
        <v>128</v>
      </c>
      <c r="H4" s="8" t="s">
        <v>129</v>
      </c>
    </row>
    <row r="5" spans="1:8">
      <c r="A5" s="17" t="s">
        <v>78</v>
      </c>
      <c r="B5" s="17" t="s">
        <v>130</v>
      </c>
      <c r="C5" s="17" t="s">
        <v>131</v>
      </c>
      <c r="D5" s="17" t="s">
        <v>132</v>
      </c>
      <c r="E5" s="17" t="s">
        <v>132</v>
      </c>
      <c r="F5" s="17" t="s">
        <v>132</v>
      </c>
      <c r="G5" s="17" t="s">
        <v>45</v>
      </c>
      <c r="H5" s="17" t="s">
        <v>45</v>
      </c>
    </row>
    <row r="6" spans="1:8">
      <c r="A6" s="17" t="s">
        <v>79</v>
      </c>
      <c r="B6" s="17" t="s">
        <v>130</v>
      </c>
      <c r="C6" s="17" t="s">
        <v>133</v>
      </c>
      <c r="D6" s="17" t="s">
        <v>134</v>
      </c>
      <c r="E6" s="17" t="s">
        <v>135</v>
      </c>
      <c r="F6" s="17" t="s">
        <v>136</v>
      </c>
      <c r="G6" s="17" t="s">
        <v>137</v>
      </c>
      <c r="H6" s="17" t="s">
        <v>138</v>
      </c>
    </row>
    <row r="7" spans="1:8">
      <c r="A7" s="12" t="s">
        <v>80</v>
      </c>
      <c r="B7" s="12" t="s">
        <v>130</v>
      </c>
      <c r="C7" s="12" t="s">
        <v>139</v>
      </c>
      <c r="D7" s="12" t="s">
        <v>34</v>
      </c>
      <c r="E7" s="12" t="s">
        <v>140</v>
      </c>
      <c r="F7" s="12" t="s">
        <v>141</v>
      </c>
      <c r="G7" s="12" t="s">
        <v>22</v>
      </c>
      <c r="H7" s="12" t="s">
        <v>142</v>
      </c>
    </row>
    <row r="9" spans="1:8">
      <c r="A9" s="20" t="s">
        <v>143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144</v>
      </c>
    </row>
    <row r="2" spans="1:6">
      <c r="A2" s="20" t="s">
        <v>145</v>
      </c>
    </row>
    <row r="4" spans="1:6" ht="24" customHeight="1">
      <c r="A4" s="8" t="s">
        <v>146</v>
      </c>
      <c r="B4" s="8" t="s">
        <v>147</v>
      </c>
      <c r="C4" s="8" t="s">
        <v>148</v>
      </c>
      <c r="D4" s="8" t="s">
        <v>149</v>
      </c>
      <c r="E4" s="8" t="s">
        <v>150</v>
      </c>
      <c r="F4" s="8" t="s">
        <v>151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152</v>
      </c>
      <c r="F5" s="17" t="s">
        <v>153</v>
      </c>
    </row>
    <row r="6" spans="1:6">
      <c r="A6" s="17" t="s">
        <v>154</v>
      </c>
      <c r="B6" s="17" t="s">
        <v>155</v>
      </c>
      <c r="C6" s="17" t="s">
        <v>156</v>
      </c>
      <c r="D6" s="17" t="s">
        <v>157</v>
      </c>
      <c r="E6" s="17" t="s">
        <v>158</v>
      </c>
      <c r="F6" s="17" t="s">
        <v>153</v>
      </c>
    </row>
    <row r="7" spans="1:6">
      <c r="A7" s="17" t="s">
        <v>159</v>
      </c>
      <c r="B7" s="17" t="s">
        <v>160</v>
      </c>
      <c r="C7" s="17" t="s">
        <v>161</v>
      </c>
      <c r="D7" s="17" t="s">
        <v>162</v>
      </c>
      <c r="E7" s="17" t="s">
        <v>163</v>
      </c>
      <c r="F7" s="17" t="s">
        <v>153</v>
      </c>
    </row>
    <row r="8" spans="1:6">
      <c r="A8" s="17" t="s">
        <v>164</v>
      </c>
      <c r="B8" s="17" t="s">
        <v>165</v>
      </c>
      <c r="C8" s="17" t="s">
        <v>166</v>
      </c>
      <c r="D8" s="17" t="s">
        <v>167</v>
      </c>
      <c r="E8" s="17" t="s">
        <v>168</v>
      </c>
      <c r="F8" s="17" t="s">
        <v>153</v>
      </c>
    </row>
    <row r="9" spans="1:6">
      <c r="A9" s="17" t="s">
        <v>42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153</v>
      </c>
    </row>
    <row r="10" spans="1:6">
      <c r="A10" s="12" t="s">
        <v>30</v>
      </c>
      <c r="B10" s="12" t="s">
        <v>173</v>
      </c>
      <c r="C10" s="12" t="s">
        <v>174</v>
      </c>
      <c r="D10" s="12" t="s">
        <v>175</v>
      </c>
      <c r="E10" s="12" t="s">
        <v>176</v>
      </c>
      <c r="F10" s="12" t="s">
        <v>177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177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177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177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177</v>
      </c>
    </row>
    <row r="15" spans="1:6">
      <c r="A15" s="17" t="s">
        <v>189</v>
      </c>
      <c r="B15" s="17" t="s">
        <v>48</v>
      </c>
      <c r="C15" s="17" t="s">
        <v>194</v>
      </c>
      <c r="D15" s="17" t="s">
        <v>198</v>
      </c>
      <c r="E15" s="17" t="s">
        <v>199</v>
      </c>
      <c r="F15" s="17" t="s">
        <v>177</v>
      </c>
    </row>
    <row r="16" spans="1:6">
      <c r="A16" s="17" t="s">
        <v>190</v>
      </c>
      <c r="B16" s="17" t="s">
        <v>200</v>
      </c>
      <c r="C16" s="17" t="s">
        <v>201</v>
      </c>
      <c r="D16" s="17" t="s">
        <v>202</v>
      </c>
      <c r="E16" s="17" t="s">
        <v>203</v>
      </c>
      <c r="F16" s="17" t="s">
        <v>177</v>
      </c>
    </row>
    <row r="17" spans="1:6">
      <c r="A17" s="17" t="s">
        <v>204</v>
      </c>
      <c r="B17" s="17" t="s">
        <v>205</v>
      </c>
      <c r="C17" s="17" t="s">
        <v>206</v>
      </c>
      <c r="D17" s="17" t="s">
        <v>207</v>
      </c>
      <c r="E17" s="17" t="s">
        <v>208</v>
      </c>
      <c r="F17" s="17" t="s">
        <v>177</v>
      </c>
    </row>
    <row r="18" spans="1:6">
      <c r="A18" s="17" t="s">
        <v>179</v>
      </c>
      <c r="B18" s="17" t="s">
        <v>142</v>
      </c>
      <c r="C18" s="17" t="s">
        <v>209</v>
      </c>
      <c r="D18" s="17" t="s">
        <v>210</v>
      </c>
      <c r="E18" s="17" t="s">
        <v>211</v>
      </c>
      <c r="F18" s="17" t="s">
        <v>177</v>
      </c>
    </row>
    <row r="19" spans="1:6">
      <c r="A19" s="17" t="s">
        <v>212</v>
      </c>
      <c r="B19" s="17" t="s">
        <v>137</v>
      </c>
      <c r="C19" s="17" t="s">
        <v>42</v>
      </c>
      <c r="D19" s="17" t="s">
        <v>213</v>
      </c>
      <c r="E19" s="17" t="s">
        <v>214</v>
      </c>
      <c r="F19" s="17" t="s">
        <v>177</v>
      </c>
    </row>
    <row r="20" spans="1:6">
      <c r="A20" s="17" t="s">
        <v>215</v>
      </c>
      <c r="B20" s="17" t="s">
        <v>216</v>
      </c>
      <c r="C20" s="17" t="s">
        <v>142</v>
      </c>
      <c r="D20" s="17" t="s">
        <v>132</v>
      </c>
      <c r="E20" s="17" t="s">
        <v>217</v>
      </c>
      <c r="F20" s="17" t="s">
        <v>177</v>
      </c>
    </row>
    <row r="21" spans="1:6">
      <c r="A21" s="17" t="s">
        <v>218</v>
      </c>
      <c r="B21" s="17" t="s">
        <v>219</v>
      </c>
      <c r="C21" s="17" t="s">
        <v>164</v>
      </c>
      <c r="D21" s="17" t="s">
        <v>220</v>
      </c>
      <c r="E21" s="17" t="s">
        <v>221</v>
      </c>
      <c r="F21" s="17" t="s">
        <v>177</v>
      </c>
    </row>
    <row r="23" spans="1:6">
      <c r="A23" s="20" t="s">
        <v>222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223</v>
      </c>
    </row>
    <row r="2" spans="1:7">
      <c r="A2" s="20" t="s">
        <v>224</v>
      </c>
    </row>
    <row r="4" spans="1:7" ht="24" customHeight="1">
      <c r="A4" s="8" t="s">
        <v>225</v>
      </c>
      <c r="B4" s="8" t="s">
        <v>226</v>
      </c>
      <c r="C4" s="8" t="s">
        <v>227</v>
      </c>
      <c r="D4" s="8" t="s">
        <v>228</v>
      </c>
      <c r="E4" s="8" t="s">
        <v>229</v>
      </c>
      <c r="F4" s="8" t="s">
        <v>230</v>
      </c>
      <c r="G4" s="8" t="s">
        <v>231</v>
      </c>
    </row>
    <row r="5" spans="1:7">
      <c r="A5" s="17" t="s">
        <v>232</v>
      </c>
      <c r="B5" s="17" t="s">
        <v>233</v>
      </c>
      <c r="C5" s="17" t="s">
        <v>234</v>
      </c>
      <c r="D5" s="17" t="s">
        <v>235</v>
      </c>
      <c r="E5" s="17" t="s">
        <v>236</v>
      </c>
      <c r="F5" s="17" t="s">
        <v>237</v>
      </c>
      <c r="G5" s="17" t="s">
        <v>238</v>
      </c>
    </row>
    <row r="6" spans="1:7">
      <c r="A6" s="17" t="s">
        <v>239</v>
      </c>
      <c r="B6" s="17" t="s">
        <v>240</v>
      </c>
      <c r="C6" s="17" t="s">
        <v>241</v>
      </c>
      <c r="D6" s="17" t="s">
        <v>242</v>
      </c>
      <c r="E6" s="17" t="s">
        <v>243</v>
      </c>
      <c r="F6" s="17" t="s">
        <v>244</v>
      </c>
      <c r="G6" s="17" t="s">
        <v>245</v>
      </c>
    </row>
    <row r="7" spans="1:7">
      <c r="A7" s="17" t="s">
        <v>246</v>
      </c>
      <c r="B7" s="17" t="s">
        <v>247</v>
      </c>
      <c r="C7" s="17" t="s">
        <v>248</v>
      </c>
      <c r="D7" s="17" t="s">
        <v>195</v>
      </c>
      <c r="E7" s="17" t="s">
        <v>249</v>
      </c>
      <c r="F7" s="17" t="s">
        <v>250</v>
      </c>
      <c r="G7" s="17" t="s">
        <v>251</v>
      </c>
    </row>
    <row r="8" spans="1:7">
      <c r="A8" s="17" t="s">
        <v>252</v>
      </c>
      <c r="B8" s="17" t="s">
        <v>253</v>
      </c>
      <c r="C8" s="17" t="s">
        <v>254</v>
      </c>
      <c r="D8" s="17" t="s">
        <v>189</v>
      </c>
      <c r="E8" s="17" t="s">
        <v>255</v>
      </c>
      <c r="F8" s="17" t="s">
        <v>256</v>
      </c>
      <c r="G8" s="17" t="s">
        <v>257</v>
      </c>
    </row>
    <row r="9" spans="1:7">
      <c r="A9" s="17" t="s">
        <v>258</v>
      </c>
      <c r="B9" s="17" t="s">
        <v>28</v>
      </c>
      <c r="C9" s="17" t="s">
        <v>28</v>
      </c>
      <c r="D9" s="17" t="s">
        <v>259</v>
      </c>
      <c r="E9" s="17" t="s">
        <v>204</v>
      </c>
      <c r="F9" s="17" t="s">
        <v>260</v>
      </c>
      <c r="G9" s="17" t="s">
        <v>261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262</v>
      </c>
    </row>
    <row r="2" spans="1:4">
      <c r="A2" s="20" t="s">
        <v>263</v>
      </c>
    </row>
    <row r="4" spans="1:4" ht="24" customHeight="1">
      <c r="A4" s="8" t="s">
        <v>264</v>
      </c>
      <c r="B4" s="8" t="s">
        <v>265</v>
      </c>
      <c r="C4" s="8" t="s">
        <v>266</v>
      </c>
      <c r="D4" s="8" t="s">
        <v>267</v>
      </c>
    </row>
    <row r="5" spans="1:4">
      <c r="A5" s="17" t="s">
        <v>268</v>
      </c>
      <c r="B5" s="17" t="s">
        <v>132</v>
      </c>
      <c r="C5" s="17" t="s">
        <v>132</v>
      </c>
      <c r="D5" s="17" t="s">
        <v>45</v>
      </c>
    </row>
    <row r="6" spans="1:4">
      <c r="A6" s="17" t="s">
        <v>269</v>
      </c>
      <c r="B6" s="17" t="s">
        <v>132</v>
      </c>
      <c r="C6" s="17" t="s">
        <v>34</v>
      </c>
      <c r="D6" s="17" t="s">
        <v>270</v>
      </c>
    </row>
    <row r="7" spans="1:4">
      <c r="A7" s="12" t="s">
        <v>150</v>
      </c>
      <c r="B7" s="12" t="s">
        <v>271</v>
      </c>
      <c r="C7" s="12" t="s">
        <v>152</v>
      </c>
      <c r="D7" s="12" t="s">
        <v>272</v>
      </c>
    </row>
    <row r="8" spans="1:4">
      <c r="A8" s="17" t="s">
        <v>147</v>
      </c>
      <c r="B8" s="17" t="s">
        <v>259</v>
      </c>
      <c r="C8" s="17" t="s">
        <v>22</v>
      </c>
      <c r="D8" s="17" t="s">
        <v>22</v>
      </c>
    </row>
    <row r="9" spans="1:4">
      <c r="A9" s="17" t="s">
        <v>148</v>
      </c>
      <c r="B9" s="17" t="s">
        <v>259</v>
      </c>
      <c r="C9" s="17" t="s">
        <v>26</v>
      </c>
      <c r="D9" s="17" t="s">
        <v>26</v>
      </c>
    </row>
    <row r="11" spans="1:4">
      <c r="A11" s="20" t="s">
        <v>273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274</v>
      </c>
    </row>
    <row r="3" spans="1:2">
      <c r="A3" s="6" t="s">
        <v>275</v>
      </c>
    </row>
    <row r="4" spans="1:2">
      <c r="A4" s="6" t="s">
        <v>276</v>
      </c>
      <c r="B4" s="21" t="s">
        <v>277</v>
      </c>
    </row>
    <row r="5" spans="1:2">
      <c r="A5" s="6" t="s">
        <v>276</v>
      </c>
      <c r="B5" s="21" t="s">
        <v>278</v>
      </c>
    </row>
    <row r="6" spans="1:2">
      <c r="A6" s="6" t="s">
        <v>276</v>
      </c>
      <c r="B6" s="21" t="s">
        <v>279</v>
      </c>
    </row>
    <row r="7" spans="1:2">
      <c r="A7" s="6" t="s">
        <v>276</v>
      </c>
      <c r="B7" s="21" t="s">
        <v>280</v>
      </c>
    </row>
    <row r="9" spans="1:2">
      <c r="A9" s="6" t="s">
        <v>281</v>
      </c>
    </row>
    <row r="10" spans="1:2">
      <c r="A10" s="6">
        <v>1</v>
      </c>
      <c r="B10" s="3" t="s">
        <v>282</v>
      </c>
    </row>
    <row r="11" spans="1:2">
      <c r="A11" s="6">
        <v>2</v>
      </c>
      <c r="B11" s="3" t="s">
        <v>283</v>
      </c>
    </row>
    <row r="12" spans="1:2">
      <c r="A12" s="6">
        <v>3</v>
      </c>
      <c r="B12" s="3" t="s">
        <v>284</v>
      </c>
    </row>
    <row r="13" spans="1:2">
      <c r="A13" s="6">
        <v>4</v>
      </c>
      <c r="B13" s="3" t="s">
        <v>285</v>
      </c>
    </row>
    <row r="14" spans="1:2">
      <c r="A14" s="6">
        <v>5</v>
      </c>
      <c r="B14" s="3" t="s">
        <v>286</v>
      </c>
    </row>
    <row r="15" spans="1:2">
      <c r="A15" s="6">
        <v>6</v>
      </c>
      <c r="B15" s="3" t="s">
        <v>287</v>
      </c>
    </row>
    <row r="16" spans="1:2">
      <c r="A16" s="6">
        <v>7</v>
      </c>
      <c r="B16" s="3" t="s">
        <v>288</v>
      </c>
    </row>
    <row r="17" spans="1:2">
      <c r="A17" s="6">
        <v>8</v>
      </c>
      <c r="B17" s="3" t="s">
        <v>289</v>
      </c>
    </row>
    <row r="18" spans="1:2">
      <c r="A18" s="6">
        <v>9</v>
      </c>
      <c r="B18" s="3" t="s">
        <v>290</v>
      </c>
    </row>
    <row r="19" spans="1:2">
      <c r="A19" s="6">
        <v>10</v>
      </c>
      <c r="B19" s="3" t="s">
        <v>291</v>
      </c>
    </row>
    <row r="20" spans="1:2">
      <c r="A20" s="6">
        <v>11</v>
      </c>
      <c r="B20" s="3" t="s">
        <v>292</v>
      </c>
    </row>
    <row r="21" spans="1:2">
      <c r="A21" s="6">
        <v>12</v>
      </c>
      <c r="B21" s="3" t="s">
        <v>293</v>
      </c>
    </row>
    <row r="22" spans="1:2">
      <c r="A22" s="6">
        <v>13</v>
      </c>
      <c r="B22" s="3" t="s">
        <v>294</v>
      </c>
    </row>
    <row r="23" spans="1:2">
      <c r="A23" s="6">
        <v>14</v>
      </c>
      <c r="B23" s="3" t="s">
        <v>295</v>
      </c>
    </row>
    <row r="24" spans="1:2">
      <c r="A24" s="6">
        <v>15</v>
      </c>
      <c r="B24" s="3" t="s">
        <v>296</v>
      </c>
    </row>
    <row r="25" spans="1:2">
      <c r="A25" s="6">
        <v>16</v>
      </c>
      <c r="B25" s="3" t="s">
        <v>297</v>
      </c>
    </row>
    <row r="26" spans="1:2">
      <c r="A26" s="6">
        <v>17</v>
      </c>
      <c r="B26" s="3" t="s">
        <v>298</v>
      </c>
    </row>
    <row r="27" spans="1:2">
      <c r="A27" s="6">
        <v>18</v>
      </c>
      <c r="B27" s="3" t="s">
        <v>299</v>
      </c>
    </row>
    <row r="28" spans="1:2">
      <c r="A28" s="6">
        <v>19</v>
      </c>
      <c r="B28" s="3" t="s">
        <v>300</v>
      </c>
    </row>
    <row r="29" spans="1:2">
      <c r="A29" s="6">
        <v>20</v>
      </c>
      <c r="B29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 t="s">
        <v>310</v>
      </c>
    </row>
    <row r="4" spans="1:4">
      <c r="A4" s="22" t="s">
        <v>306</v>
      </c>
      <c r="B4" s="17" t="s">
        <v>307</v>
      </c>
      <c r="C4" s="23" t="s">
        <v>311</v>
      </c>
      <c r="D4" s="23"/>
    </row>
    <row r="5" spans="1:4">
      <c r="A5" s="22" t="s">
        <v>306</v>
      </c>
      <c r="B5" s="17" t="s">
        <v>307</v>
      </c>
      <c r="C5" s="23" t="s">
        <v>312</v>
      </c>
      <c r="D5" s="23"/>
    </row>
    <row r="6" spans="1:4">
      <c r="A6" s="22" t="s">
        <v>306</v>
      </c>
      <c r="B6" s="17" t="s">
        <v>307</v>
      </c>
      <c r="C6" s="23" t="s">
        <v>313</v>
      </c>
      <c r="D6" s="23"/>
    </row>
    <row r="7" spans="1:4">
      <c r="A7" s="22" t="s">
        <v>306</v>
      </c>
      <c r="B7" s="17" t="s">
        <v>307</v>
      </c>
      <c r="C7" s="23" t="s">
        <v>314</v>
      </c>
      <c r="D7" s="23"/>
    </row>
    <row r="8" spans="1:4">
      <c r="A8" s="22" t="s">
        <v>306</v>
      </c>
      <c r="B8" s="17" t="s">
        <v>307</v>
      </c>
      <c r="C8" s="23" t="s">
        <v>315</v>
      </c>
      <c r="D8" s="23"/>
    </row>
    <row r="9" spans="1:4">
      <c r="A9" s="22" t="s">
        <v>306</v>
      </c>
      <c r="B9" s="17" t="s">
        <v>307</v>
      </c>
      <c r="C9" s="23" t="s">
        <v>316</v>
      </c>
      <c r="D9" s="23"/>
    </row>
    <row r="10" spans="1:4">
      <c r="A10" s="22" t="s">
        <v>306</v>
      </c>
      <c r="B10" s="17" t="s">
        <v>307</v>
      </c>
      <c r="C10" s="23" t="s">
        <v>317</v>
      </c>
      <c r="D10" s="23"/>
    </row>
    <row r="11" spans="1:4">
      <c r="A11" s="22" t="s">
        <v>306</v>
      </c>
      <c r="B11" s="17" t="s">
        <v>307</v>
      </c>
      <c r="C11" s="23" t="s">
        <v>318</v>
      </c>
      <c r="D11" s="23"/>
    </row>
    <row r="12" spans="1:4">
      <c r="A12" s="22" t="s">
        <v>306</v>
      </c>
      <c r="B12" s="17" t="s">
        <v>307</v>
      </c>
      <c r="C12" s="23" t="s">
        <v>319</v>
      </c>
      <c r="D12" s="23"/>
    </row>
    <row r="13" spans="1:4">
      <c r="A13" s="22" t="s">
        <v>306</v>
      </c>
      <c r="B13" s="17" t="s">
        <v>307</v>
      </c>
      <c r="C13" s="23" t="s">
        <v>293</v>
      </c>
      <c r="D13" s="23" t="s">
        <v>320</v>
      </c>
    </row>
    <row r="14" spans="1:4">
      <c r="A14" s="22" t="s">
        <v>306</v>
      </c>
      <c r="B14" s="17" t="s">
        <v>307</v>
      </c>
      <c r="C14" s="23" t="s">
        <v>294</v>
      </c>
      <c r="D14" s="23" t="s">
        <v>320</v>
      </c>
    </row>
    <row r="15" spans="1:4">
      <c r="A15" s="22" t="s">
        <v>306</v>
      </c>
      <c r="B15" s="17" t="s">
        <v>307</v>
      </c>
      <c r="C15" s="23" t="s">
        <v>295</v>
      </c>
      <c r="D15" s="23" t="s">
        <v>320</v>
      </c>
    </row>
    <row r="16" spans="1:4">
      <c r="A16" s="22" t="s">
        <v>306</v>
      </c>
      <c r="B16" s="17" t="s">
        <v>307</v>
      </c>
      <c r="C16" s="23" t="s">
        <v>296</v>
      </c>
      <c r="D16" s="23" t="s">
        <v>320</v>
      </c>
    </row>
    <row r="17" spans="1:4">
      <c r="A17" s="22" t="s">
        <v>306</v>
      </c>
      <c r="B17" s="17" t="s">
        <v>307</v>
      </c>
      <c r="C17" s="23" t="s">
        <v>297</v>
      </c>
      <c r="D17" s="23" t="s">
        <v>320</v>
      </c>
    </row>
    <row r="18" spans="1:4">
      <c r="A18" s="22" t="s">
        <v>306</v>
      </c>
      <c r="B18" s="17" t="s">
        <v>307</v>
      </c>
      <c r="C18" s="23" t="s">
        <v>298</v>
      </c>
      <c r="D18" s="23" t="s">
        <v>320</v>
      </c>
    </row>
    <row r="19" spans="1:4">
      <c r="A19" s="22" t="s">
        <v>306</v>
      </c>
      <c r="B19" s="17" t="s">
        <v>307</v>
      </c>
      <c r="C19" s="23" t="s">
        <v>299</v>
      </c>
      <c r="D19" s="23" t="s">
        <v>320</v>
      </c>
    </row>
    <row r="20" spans="1:4">
      <c r="A20" s="22" t="s">
        <v>306</v>
      </c>
      <c r="B20" s="17" t="s">
        <v>307</v>
      </c>
      <c r="C20" s="23" t="s">
        <v>300</v>
      </c>
      <c r="D20" s="23" t="s">
        <v>320</v>
      </c>
    </row>
    <row r="21" spans="1:4">
      <c r="A21" s="22" t="s">
        <v>306</v>
      </c>
      <c r="B21" s="17" t="s">
        <v>307</v>
      </c>
      <c r="C21" s="23" t="s">
        <v>301</v>
      </c>
      <c r="D21" s="23" t="s">
        <v>320</v>
      </c>
    </row>
    <row r="22" spans="1:4">
      <c r="A22" s="22" t="s">
        <v>306</v>
      </c>
      <c r="B22" s="17" t="s">
        <v>307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324</v>
      </c>
      <c r="C24" s="23" t="s">
        <v>325</v>
      </c>
      <c r="D24" s="23"/>
    </row>
    <row r="25" spans="1:4">
      <c r="A25" s="22" t="s">
        <v>306</v>
      </c>
      <c r="B25" s="17" t="s">
        <v>324</v>
      </c>
      <c r="C25" s="23" t="s">
        <v>326</v>
      </c>
      <c r="D25" s="23" t="s">
        <v>327</v>
      </c>
    </row>
    <row r="26" spans="1:4">
      <c r="A26" s="22" t="s">
        <v>306</v>
      </c>
      <c r="B26" s="17" t="s">
        <v>324</v>
      </c>
      <c r="C26" s="23" t="s">
        <v>328</v>
      </c>
      <c r="D26" s="23"/>
    </row>
    <row r="27" spans="1:4">
      <c r="A27" s="22" t="s">
        <v>306</v>
      </c>
      <c r="B27" s="17" t="s">
        <v>324</v>
      </c>
      <c r="C27" s="23" t="s">
        <v>329</v>
      </c>
      <c r="D27" s="23" t="s">
        <v>330</v>
      </c>
    </row>
    <row r="28" spans="1:4">
      <c r="A28" s="22" t="s">
        <v>306</v>
      </c>
      <c r="B28" s="17" t="s">
        <v>322</v>
      </c>
      <c r="C28" s="23" t="s">
        <v>331</v>
      </c>
      <c r="D28" s="23" t="s">
        <v>332</v>
      </c>
    </row>
    <row r="29" spans="1:4">
      <c r="A29" s="22" t="s">
        <v>333</v>
      </c>
      <c r="B29" s="17" t="s">
        <v>322</v>
      </c>
      <c r="C29" s="23" t="s">
        <v>334</v>
      </c>
      <c r="D29" s="23"/>
    </row>
    <row r="30" spans="1:4">
      <c r="A30" s="22" t="s">
        <v>333</v>
      </c>
      <c r="B30" s="17" t="s">
        <v>322</v>
      </c>
      <c r="C30" s="23" t="s">
        <v>335</v>
      </c>
      <c r="D30" s="23"/>
    </row>
    <row r="31" spans="1:4">
      <c r="A31" s="22" t="s">
        <v>333</v>
      </c>
      <c r="B31" s="17" t="s">
        <v>322</v>
      </c>
      <c r="C31" s="23" t="s">
        <v>336</v>
      </c>
      <c r="D31" s="23"/>
    </row>
    <row r="32" spans="1:4">
      <c r="A32" s="22" t="s">
        <v>333</v>
      </c>
      <c r="B32" s="17" t="s">
        <v>322</v>
      </c>
      <c r="C32" s="23" t="s">
        <v>337</v>
      </c>
      <c r="D32" s="23"/>
    </row>
    <row r="33" spans="1:4">
      <c r="A33" s="22" t="s">
        <v>333</v>
      </c>
      <c r="B33" s="17" t="s">
        <v>322</v>
      </c>
      <c r="C33" s="23" t="s">
        <v>338</v>
      </c>
      <c r="D33" s="23"/>
    </row>
    <row r="34" spans="1:4">
      <c r="A34" s="22" t="s">
        <v>333</v>
      </c>
      <c r="B34" s="17" t="s">
        <v>322</v>
      </c>
      <c r="C34" s="23" t="s">
        <v>339</v>
      </c>
      <c r="D34" s="23"/>
    </row>
    <row r="35" spans="1:4">
      <c r="A35" s="22" t="s">
        <v>333</v>
      </c>
      <c r="B35" s="17" t="s">
        <v>322</v>
      </c>
      <c r="C35" s="23" t="s">
        <v>340</v>
      </c>
      <c r="D35" s="23"/>
    </row>
    <row r="36" spans="1:4">
      <c r="A36" s="22" t="s">
        <v>333</v>
      </c>
      <c r="B36" s="17" t="s">
        <v>322</v>
      </c>
      <c r="C36" s="23" t="s">
        <v>341</v>
      </c>
      <c r="D36" s="23"/>
    </row>
    <row r="37" spans="1:4">
      <c r="A37" s="22" t="s">
        <v>333</v>
      </c>
      <c r="B37" s="17" t="s">
        <v>342</v>
      </c>
      <c r="C37" s="23" t="s">
        <v>343</v>
      </c>
      <c r="D37" s="23"/>
    </row>
    <row r="38" spans="1:4">
      <c r="A38" s="22" t="s">
        <v>333</v>
      </c>
      <c r="B38" s="17" t="s">
        <v>342</v>
      </c>
      <c r="C38" s="23" t="s">
        <v>344</v>
      </c>
      <c r="D38" s="23"/>
    </row>
    <row r="39" spans="1:4">
      <c r="A39" s="22" t="s">
        <v>333</v>
      </c>
      <c r="B39" s="17" t="s">
        <v>342</v>
      </c>
      <c r="C39" s="23" t="s">
        <v>345</v>
      </c>
      <c r="D39" s="23"/>
    </row>
    <row r="40" spans="1:4">
      <c r="A40" s="22" t="s">
        <v>333</v>
      </c>
      <c r="B40" s="17" t="s">
        <v>342</v>
      </c>
      <c r="C40" s="23" t="s">
        <v>346</v>
      </c>
      <c r="D40" s="23"/>
    </row>
  </sheetData>
  <autoFilter ref="A1:D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2026-09-21T14:31:20Z</dcterms:created>
  <dcterms:modified xsi:type="dcterms:W3CDTF">2026-09-21T14:31:20Z</dcterms:modified>
</cp:coreProperties>
</file>