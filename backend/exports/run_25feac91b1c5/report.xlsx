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Year by year" sheetId="5" r:id="rId5"/>
    <sheet name="Searching for the breakeven esc" sheetId="6" r:id="rId6"/>
    <sheet name="What goes into the model" sheetId="7" r:id="rId7"/>
    <sheet name="The bottom line" sheetId="8" r:id="rId8"/>
    <sheet name="Assumptions" sheetId="9" r:id="rId9"/>
    <sheet name="Run log" sheetId="10" r:id="rId10"/>
  </sheets>
  <definedNames>
    <definedName name="_xlnm._FilterDatabase" localSheetId="9" hidden="1">'Run log'!$A$1:$D$38</definedName>
    <definedName name="_xlnm._FilterDatabase" localSheetId="5" hidden="1">'Searching for the breakeven esc'!$A$4:$F$21</definedName>
    <definedName name="_xlnm._FilterDatabase" localSheetId="7" hidden="1">'The bottom line'!$A$4:$D$9</definedName>
    <definedName name="_xlnm._FilterDatabase" localSheetId="6" hidden="1">'What goes into the model'!$A$4:$G$9</definedName>
    <definedName name="_xlnm._FilterDatabase" localSheetId="4" hidden="1">'Year by year'!$A$4:$H$7</definedName>
  </definedNames>
  <calcPr calcId="124519" fullCalcOnLoad="1"/>
</workbook>
</file>

<file path=xl/sharedStrings.xml><?xml version="1.0" encoding="utf-8"?>
<sst xmlns="http://schemas.openxmlformats.org/spreadsheetml/2006/main" count="504" uniqueCount="343">
  <si>
    <t>Simulation Arena</t>
  </si>
  <si>
    <t>Margin Protection &amp; Floor Setting: Stress-Testing Cost Volatility</t>
  </si>
  <si>
    <t>With no price escalator there is a 42.1% chance (about 4 in 10) this contract breaks your 12% margin floor by Year 3 - a 6.5% annual escalator is what brings that back inside your 10% tolerance.</t>
  </si>
  <si>
    <t>What we did</t>
  </si>
  <si>
    <t>We split your cost to deliver into its moving parts and gave each one - plus the currency - a range of yearly moves, from the small ones to the nasty ones. Instead of picking randomly, we walked 1,000 complete 3-year cash flows through those ranges on an even grid, so every slice of every range gets tested and nothing important is missed. Each run asks one question: at the end of each year, is the margin still above your floor? We then repeat the whole thing at every escalator from 0% upwards until the chance of breaking the floor falls below the 10% you said you could live with. Costs are modelled with a 'bad news is more likely than good news' curve, so surprise increases weigh more than surprise windfalls.</t>
  </si>
  <si>
    <t>Seed</t>
  </si>
  <si>
    <t>Run id</t>
  </si>
  <si>
    <t>run_25feac91b1c5</t>
  </si>
  <si>
    <t>Generated</t>
  </si>
  <si>
    <t>21 Sep 2026 23:38</t>
  </si>
  <si>
    <t>Scenarios tested</t>
  </si>
  <si>
    <t>1,000</t>
  </si>
  <si>
    <t>Method</t>
  </si>
  <si>
    <t>Latin Hypercube Sampling of multi-year cost inflation and currency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</si>
  <si>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</si>
  <si>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</si>
  <si>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</si>
  <si>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</si>
  <si>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</si>
  <si>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</si>
  <si>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</si>
  <si>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of breaking the 12% floor by Year 3</t>
  </si>
  <si>
    <t>42.1%</t>
  </si>
  <si>
    <t>The odds that the Year 3 margin comes in below your minimum - the final year is where cost increases have compounded the longest.</t>
  </si>
  <si>
    <t>your tolerance is 10.0%</t>
  </si>
  <si>
    <t>Chance of breaking it at any point</t>
  </si>
  <si>
    <t>53.8%</t>
  </si>
  <si>
    <t>The odds that at least one of the years comes in below the floor.</t>
  </si>
  <si>
    <t>-</t>
  </si>
  <si>
    <t>Breakeven annual escalator</t>
  </si>
  <si>
    <t>6.5%</t>
  </si>
  <si>
    <t>A 6.5% annual escalator brings the risk inside your 10% tolerance.</t>
  </si>
  <si>
    <t>you are asking for 0.0%</t>
  </si>
  <si>
    <t>Expected margin in Year 3 (the worst year)</t>
  </si>
  <si>
    <t>13.8%</t>
  </si>
  <si>
    <t>Year 3 is where the floor is most at risk.</t>
  </si>
  <si>
    <t>you signed at 15.0%</t>
  </si>
  <si>
    <t>Margin at risk, in today's money</t>
  </si>
  <si>
    <t>$119k</t>
  </si>
  <si>
    <t>The profit you planned to book minus the profit this simulation says you will actually book, in today's money.</t>
  </si>
  <si>
    <t>planned $3.09M</t>
  </si>
  <si>
    <t>Chance the contract loses money in a year</t>
  </si>
  <si>
    <t>9.8%</t>
  </si>
  <si>
    <t>How often a year comes in below zero margin, not just below the floor.</t>
  </si>
  <si>
    <t>Chance of breaking the floor in Year 1</t>
  </si>
  <si>
    <t>0.0%</t>
  </si>
  <si>
    <t>Year 1 is the one year an escalator cannot protect - only a higher starting price can.</t>
  </si>
  <si>
    <t>Margin you recover at the breakeven escalator</t>
  </si>
  <si>
    <t>10.2%</t>
  </si>
  <si>
    <t>How much final-year margin the escalator buys back.</t>
  </si>
  <si>
    <t>Recommendation</t>
  </si>
  <si>
    <t>Do not sign a frozen price. Add a 6.5% annual escalator plus a renegotiation trigger at Year 2.</t>
  </si>
  <si>
    <t>Risk</t>
  </si>
  <si>
    <t>High</t>
  </si>
  <si>
    <t>Risk score</t>
  </si>
  <si>
    <t>100 out of 100</t>
  </si>
  <si>
    <t>Confidence</t>
  </si>
  <si>
    <t>Why</t>
  </si>
  <si>
    <t>1.</t>
  </si>
  <si>
    <t>Expected margin falls from 15.0% in Year 1 to 13.8% by Year 3.</t>
  </si>
  <si>
    <t>2.</t>
  </si>
  <si>
    <t>Chance of breaking the 12% floor by Year 3: 42.1% against a tolerance of 10.0% (53.8% if you count every year).</t>
  </si>
  <si>
    <t>3.</t>
  </si>
  <si>
    <t>Margin at risk, in today's money: $119k of the $3.09M you planned to book.</t>
  </si>
  <si>
    <t>What to do</t>
  </si>
  <si>
    <t>Action 1</t>
  </si>
  <si>
    <t>Add an annual cost-of-living escalator of 6.5% to the price - that alone brings the chance of breaking the floor in Year 3 from 42.1% to 8.5%.</t>
  </si>
  <si>
    <t>Action 2</t>
  </si>
  <si>
    <t>Add a renegotiation trigger: if delivered margin is below 12% at the start of Year 2, you may reopen pricing or re-scope the service.</t>
  </si>
  <si>
    <t>Action 3</t>
  </si>
  <si>
    <t>An escalator cannot protect Year 1 (it starts from Year 2). If the 0.0% Year-1 risk is not acceptable either, raise the starting price rather than relying on the escalator.</t>
  </si>
  <si>
    <t>Action 4</t>
  </si>
  <si>
    <t>Cap or pass through the Cloud Hosting line first: it drives 43.3% of the cost uncertainty.</t>
  </si>
  <si>
    <t>Trade-off</t>
  </si>
  <si>
    <t>Every point of escalator you win protects about $18k of what that money is worth today - and every point you ask for is a point buyer will not wear the escalator, take the renegotiation trigger instead: it costs nothing upfront and gives you an exit.</t>
  </si>
  <si>
    <t>Charts</t>
  </si>
  <si>
    <t>Margin over the life of the contract</t>
  </si>
  <si>
    <t>Year 1</t>
  </si>
  <si>
    <t>Year 2</t>
  </si>
  <si>
    <t>Year 3</t>
  </si>
  <si>
    <t>A bad run (1 in 20)</t>
  </si>
  <si>
    <t>Most likely</t>
  </si>
  <si>
    <t>A good run (1 in 20)</t>
  </si>
  <si>
    <t>Your 12% floor</t>
  </si>
  <si>
    <t>As long as the red line stays above the orange floor line you are safe. The moment it crosses, this contract can break your minimum margin rule.</t>
  </si>
  <si>
    <t>Where the margin lands in Year 3</t>
  </si>
  <si>
    <t>-29.47</t>
  </si>
  <si>
    <t>-27.10</t>
  </si>
  <si>
    <t>-24.72</t>
  </si>
  <si>
    <t>-22.35</t>
  </si>
  <si>
    <t>-19.98</t>
  </si>
  <si>
    <t>-17.61</t>
  </si>
  <si>
    <t>-15.24</t>
  </si>
  <si>
    <t>-12.87</t>
  </si>
  <si>
    <t>-10.50</t>
  </si>
  <si>
    <t>-8.13</t>
  </si>
  <si>
    <t>-5.76</t>
  </si>
  <si>
    <t>-3.39</t>
  </si>
  <si>
    <t>-1.01</t>
  </si>
  <si>
    <t>1.36</t>
  </si>
  <si>
    <t>3.73</t>
  </si>
  <si>
    <t>6.10</t>
  </si>
  <si>
    <t>8.47</t>
  </si>
  <si>
    <t>10.84</t>
  </si>
  <si>
    <t>13.21</t>
  </si>
  <si>
    <t>15.58</t>
  </si>
  <si>
    <t>17.95</t>
  </si>
  <si>
    <t>20.33</t>
  </si>
  <si>
    <t>22.70</t>
  </si>
  <si>
    <t>25.07</t>
  </si>
  <si>
    <t>27.44</t>
  </si>
  <si>
    <t>29.81</t>
  </si>
  <si>
    <t>32.18</t>
  </si>
  <si>
    <t>34.55</t>
  </si>
  <si>
    <t>36.92</t>
  </si>
  <si>
    <t>39.29</t>
  </si>
  <si>
    <t>Margin</t>
  </si>
  <si>
    <t>Everything to the left of the floor marker is a world where this contract has broken your minimum margin rule.</t>
  </si>
  <si>
    <t>Chance of breaking the floor, year by year</t>
  </si>
  <si>
    <t>Chance of breaking the floor</t>
  </si>
  <si>
    <t>Risk builds as the contract ages because cost increases compound while a frozen price does not.</t>
  </si>
  <si>
    <t>Year by year</t>
  </si>
  <si>
    <t>Every one of the 1,000 projections, summarised one year at a time.</t>
  </si>
  <si>
    <t>Year</t>
  </si>
  <si>
    <t>You bill</t>
  </si>
  <si>
    <t>Expected cost</t>
  </si>
  <si>
    <t>Expected margin</t>
  </si>
  <si>
    <t>Chance below the floor</t>
  </si>
  <si>
    <t>Chance of a loss</t>
  </si>
  <si>
    <t>$8,000,000</t>
  </si>
  <si>
    <t>$6,800,000</t>
  </si>
  <si>
    <t>15.0%</t>
  </si>
  <si>
    <t>$6,848,877</t>
  </si>
  <si>
    <t>14.4%</t>
  </si>
  <si>
    <t>2.4%</t>
  </si>
  <si>
    <t>25.7%</t>
  </si>
  <si>
    <t>36.4%</t>
  </si>
  <si>
    <t>3.1%</t>
  </si>
  <si>
    <t>$6,897,309</t>
  </si>
  <si>
    <t>-2.6%</t>
  </si>
  <si>
    <t>28.7%</t>
  </si>
  <si>
    <t>8.3%</t>
  </si>
  <si>
    <t>Row 3 is the year most likely to break your floor.</t>
  </si>
  <si>
    <t>Searching for the breakeven escalator</t>
  </si>
  <si>
    <t>The same 1,000 projections re-run with a different yearly price increase. We measure the risk in Year 3, the year the cost increases have compounded the longest.</t>
  </si>
  <si>
    <t>Annual escalator</t>
  </si>
  <si>
    <t>Chance of breaking the floor in Year 3</t>
  </si>
  <si>
    <t>Chance of breaking it at some point</t>
  </si>
  <si>
    <t>Expected margin in Year 3</t>
  </si>
  <si>
    <t>Margin in today's money</t>
  </si>
  <si>
    <t>Verdict</t>
  </si>
  <si>
    <t>$2.97M</t>
  </si>
  <si>
    <t>too risky</t>
  </si>
  <si>
    <t>0.5%</t>
  </si>
  <si>
    <t>38.5%</t>
  </si>
  <si>
    <t>50.0%</t>
  </si>
  <si>
    <t>14.6%</t>
  </si>
  <si>
    <t>$3.07M</t>
  </si>
  <si>
    <t>1.0%</t>
  </si>
  <si>
    <t>35.1%</t>
  </si>
  <si>
    <t>47.5%</t>
  </si>
  <si>
    <t>15.5%</t>
  </si>
  <si>
    <t>$3.17M</t>
  </si>
  <si>
    <t>1.5%</t>
  </si>
  <si>
    <t>32.4%</t>
  </si>
  <si>
    <t>45.1%</t>
  </si>
  <si>
    <t>16.3%</t>
  </si>
  <si>
    <t>$3.27M</t>
  </si>
  <si>
    <t>2.0%</t>
  </si>
  <si>
    <t>29.4%</t>
  </si>
  <si>
    <t>42.2%</t>
  </si>
  <si>
    <t>17.1%</t>
  </si>
  <si>
    <t>$3.37M</t>
  </si>
  <si>
    <t>2.5%</t>
  </si>
  <si>
    <t>26.4%</t>
  </si>
  <si>
    <t>39.6%</t>
  </si>
  <si>
    <t>17.9%</t>
  </si>
  <si>
    <t>$3.47M</t>
  </si>
  <si>
    <t>3.0%</t>
  </si>
  <si>
    <t>22.8%</t>
  </si>
  <si>
    <t>36.7%</t>
  </si>
  <si>
    <t>18.7%</t>
  </si>
  <si>
    <t>$3.57M</t>
  </si>
  <si>
    <t>3.5%</t>
  </si>
  <si>
    <t>20.5%</t>
  </si>
  <si>
    <t>33.6%</t>
  </si>
  <si>
    <t>19.5%</t>
  </si>
  <si>
    <t>$3.67M</t>
  </si>
  <si>
    <t>4.0%</t>
  </si>
  <si>
    <t>18.4%</t>
  </si>
  <si>
    <t>30.2%</t>
  </si>
  <si>
    <t>20.3%</t>
  </si>
  <si>
    <t>$3.77M</t>
  </si>
  <si>
    <t>4.5%</t>
  </si>
  <si>
    <t>16.7%</t>
  </si>
  <si>
    <t>27.6%</t>
  </si>
  <si>
    <t>21.0%</t>
  </si>
  <si>
    <t>$3.87M</t>
  </si>
  <si>
    <t>5.0%</t>
  </si>
  <si>
    <t>14.1%</t>
  </si>
  <si>
    <t>24.6%</t>
  </si>
  <si>
    <t>21.8%</t>
  </si>
  <si>
    <t>$3.97M</t>
  </si>
  <si>
    <t>5.5%</t>
  </si>
  <si>
    <t>12.0%</t>
  </si>
  <si>
    <t>21.9%</t>
  </si>
  <si>
    <t>22.5%</t>
  </si>
  <si>
    <t>$4.07M</t>
  </si>
  <si>
    <t>6.0%</t>
  </si>
  <si>
    <t>10.6%</t>
  </si>
  <si>
    <t>19.9%</t>
  </si>
  <si>
    <t>23.3%</t>
  </si>
  <si>
    <t>$4.17M</t>
  </si>
  <si>
    <t>8.5%</t>
  </si>
  <si>
    <t>17.6%</t>
  </si>
  <si>
    <t>24.0%</t>
  </si>
  <si>
    <t>$4.27M</t>
  </si>
  <si>
    <t>inside tolerance</t>
  </si>
  <si>
    <t>7.0%</t>
  </si>
  <si>
    <t>6.8%</t>
  </si>
  <si>
    <t>24.7%</t>
  </si>
  <si>
    <t>$4.37M</t>
  </si>
  <si>
    <t>7.5%</t>
  </si>
  <si>
    <t>5.7%</t>
  </si>
  <si>
    <t>13.0%</t>
  </si>
  <si>
    <t>25.4%</t>
  </si>
  <si>
    <t>$4.48M</t>
  </si>
  <si>
    <t>8.0%</t>
  </si>
  <si>
    <t>11.4%</t>
  </si>
  <si>
    <t>26.1%</t>
  </si>
  <si>
    <t>$4.58M</t>
  </si>
  <si>
    <t>The highlighted row is the first one marked 'inside tolerance' - that is the escalator to ask for.</t>
  </si>
  <si>
    <t>What goes into the model</t>
  </si>
  <si>
    <t>Cost mix from the cost mix you set.</t>
  </si>
  <si>
    <t>Cost line</t>
  </si>
  <si>
    <t>Share of cost</t>
  </si>
  <si>
    <t>Year 1 cost</t>
  </si>
  <si>
    <t>Expected drift per year</t>
  </si>
  <si>
    <t>Volatility</t>
  </si>
  <si>
    <t>Share of the Year 3 wobble</t>
  </si>
  <si>
    <t>Expected extra cost by Year 3</t>
  </si>
  <si>
    <t>Cloud Hosting</t>
  </si>
  <si>
    <t>30.0%</t>
  </si>
  <si>
    <t>$2,040,000</t>
  </si>
  <si>
    <t>22.0%</t>
  </si>
  <si>
    <t>43.3%</t>
  </si>
  <si>
    <t>$49,970</t>
  </si>
  <si>
    <t>Third-party Licensing</t>
  </si>
  <si>
    <t>25.0%</t>
  </si>
  <si>
    <t>$1,700,000</t>
  </si>
  <si>
    <t>$12,284</t>
  </si>
  <si>
    <t>Labor</t>
  </si>
  <si>
    <t>9.0%</t>
  </si>
  <si>
    <t>$8,279</t>
  </si>
  <si>
    <t>Logistics</t>
  </si>
  <si>
    <t>$1,020,000</t>
  </si>
  <si>
    <t>18.0%</t>
  </si>
  <si>
    <t>7.1%</t>
  </si>
  <si>
    <t>$16,659</t>
  </si>
  <si>
    <t>Currency</t>
  </si>
  <si>
    <t>0%</t>
  </si>
  <si>
    <t>34.3%</t>
  </si>
  <si>
    <t>$12,408</t>
  </si>
  <si>
    <t>The bottom line</t>
  </si>
  <si>
    <t>What you planned versus what the simulation says, in today's money.</t>
  </si>
  <si>
    <t>Column 1</t>
  </si>
  <si>
    <t>Planned (margin held flat)</t>
  </si>
  <si>
    <t>What the simulation says</t>
  </si>
  <si>
    <t>Difference</t>
  </si>
  <si>
    <t>Margin in Year 1</t>
  </si>
  <si>
    <t>Margin in Year 3</t>
  </si>
  <si>
    <t>-1.2%</t>
  </si>
  <si>
    <t>$3.09M</t>
  </si>
  <si>
    <t>-$119k</t>
  </si>
  <si>
    <t>Row 3 is the value at risk from cost volatility.</t>
  </si>
  <si>
    <t>Assumptions and caveats</t>
  </si>
  <si>
    <t>Watch</t>
  </si>
  <si>
    <t>!</t>
  </si>
  <si>
    <t>With no escalator there is roughly a 1 in 2 chance of breaking your 12% floor by Year 3 - that is the whole risk of a frozen price.</t>
  </si>
  <si>
    <t>There is a 9.8% chance of an outright loss-making year, not just a breach of the floor.</t>
  </si>
  <si>
    <t>No cost file was mapped, so the cost mix and every volatility are your settings rather than observed history. Upload contract costs by component and year to learn them from evidence.</t>
  </si>
  <si>
    <t>Assumed</t>
  </si>
  <si>
    <t>Contract: $8,000,000 billed per year for 3 years, starting margin 15.0%, so year-1 cost is $6,800,000.</t>
  </si>
  <si>
    <t>Cost mix: the cost mix you set - Cloud Hosting 30.0% of cost, drift 0.0% per year, volatility 22.0%, Third-party Licensing 25.0% of cost, drift 0.0% per year, volatility 12.0%, Labor 30.0% of cost, drift 0.0% per year, volatility 9.0%, Logistics 15.0% of cost, drift 0.0% per year, volatility 18.0%.</t>
  </si>
  <si>
    <t>Currency: a separate wobble of 6.0% applied to the whole cost base.</t>
  </si>
  <si>
    <t>Capacity cliff: none modelled (set the step jump above 0% to include one).</t>
  </si>
  <si>
    <t>Attrition: none modelled (set a backfill cost above 0% to include it).</t>
  </si>
  <si>
    <t>Each cost line follows a 'bad news weighs more than good news' curve: the middle outcome is the drift, but surprise increases are larger than surprise windfalls.</t>
  </si>
  <si>
    <t>Year 1 is priced on the cost you can see today; every year after that picks up a fresh cost shock over 2 year(s).</t>
  </si>
  <si>
    <t>Each volatility figure is read as the total swing for that cost line across the shocked years and spread evenly over them, so a 22.0% figure means 'ends up within about that much of plan by Year 3', not 'that much every single year'. Costs still compound - good and bad years stack up. Year-on-year volatility learned from your file is floored at 4%, because we will not assume a cost line is steadier than that. If your file holds fewer than 3 year-on-year steps, or shows an almost perfectly smooth path, we treat the swing as unmeasured and keep the volatility you typed in instead.</t>
  </si>
  <si>
    <t>Cost lines in the same year move together somewhat (they share the same economy); years move independently of each other.</t>
  </si>
  <si>
    <t>Margin floor 12%, risk tolerance 10%, discount rate 8.0% used to value future money, escalator in this run 0.0%.</t>
  </si>
  <si>
    <t>1,000 complete cash flows on an even grid; seed 42 - re-running gives identical numbers.</t>
  </si>
  <si>
    <t>Contract ID -&gt; not in your file; not used</t>
  </si>
  <si>
    <t>Customer name -&gt; not in your file; not used</t>
  </si>
  <si>
    <t>Contract value (revenue) -&gt; not in your file; used the standard value (8000000) instead</t>
  </si>
  <si>
    <t>Year -&gt; not in your file; not used</t>
  </si>
  <si>
    <t>Cost component -&gt; not in your file; not used</t>
  </si>
  <si>
    <t>Cost in that year -&gt; not in your file; not used</t>
  </si>
  <si>
    <t>Margin achieved (%) -&gt; not in your file; not used</t>
  </si>
  <si>
    <t>Capacity cliff flag -&gt; not in your file; not used</t>
  </si>
  <si>
    <t>Staff leavers (count)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</si>
  <si>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</si>
  <si>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</si>
  <si>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</si>
  <si>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</si>
  <si>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</si>
  <si>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</si>
  <si>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</si>
  <si>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'Contract ID' column. We left it out and will work without it.</t>
  </si>
  <si>
    <t>We could not find a 'Customer name' column. We left it out and will work without it.</t>
  </si>
  <si>
    <t>We could not find a 'Contract value (revenue)' column. We are using your standard value of 8000000 instead.</t>
  </si>
  <si>
    <t>We could not find a 'Year' column. We left it out and will work without it.</t>
  </si>
  <si>
    <t>We could not find a 'Cost component' column. We left it out and will work without it.</t>
  </si>
  <si>
    <t>We could not find a 'Cost in that year' column. We left it out and will work without it.</t>
  </si>
  <si>
    <t>We could not find a 'Margin achieved (%)' column. We left it out and will work without it.</t>
  </si>
  <si>
    <t>We could not find a 'Capacity cliff flag' column. We left it out and will work without it.</t>
  </si>
  <si>
    <t>We could not find a 'Staff leavers (count)'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</si>
  <si>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</si>
  <si>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</si>
  <si>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</si>
  <si>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</si>
  <si>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</si>
  <si>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contract and how its cost is built up...</t>
  </si>
  <si>
    <t>No cost file was mapped, so we used the cost mix you set: Cloud Hosting, Third-party Licensing, Labor, Logistics.</t>
  </si>
  <si>
    <t>Year 1: you bill $8.00M and it costs you $6.80M - a 15.0% margin.</t>
  </si>
  <si>
    <t>cost mix: Cloud Hosting 30.0%, Third-party Licensing 25.0%, Labor 30.0%, Logistics 15.0%</t>
  </si>
  <si>
    <t>Laying out 1,000 complete 3-year cash flows across every possible path your costs could take...</t>
  </si>
  <si>
    <t>15 cost and currency inputs sampled on an even grid, so no slice of any range is missed</t>
  </si>
  <si>
    <t>0.01s</t>
  </si>
  <si>
    <t>Walked 10% of the cash flows...</t>
  </si>
  <si>
    <t>Walked 20% of the cash flows...</t>
  </si>
  <si>
    <t>Walked 40% of the cash flows...</t>
  </si>
  <si>
    <t>Walked 50% of the cash flows...</t>
  </si>
  <si>
    <t>Walked 60% of the cash flows...</t>
  </si>
  <si>
    <t>Walked 70% of the cash flows...</t>
  </si>
  <si>
    <t>Walked 80% of the cash flows...</t>
  </si>
  <si>
    <t>Walked 90% of the cash flows...</t>
  </si>
  <si>
    <t>summarize</t>
  </si>
  <si>
    <t>Reading the results year by year...</t>
  </si>
  <si>
    <t>Solving for the annual escalator that brings the risk back inside your tolerance...</t>
  </si>
  <si>
    <t>Found it: A 6.5% annual escalator brings the risk inside your 10% tolerance.</t>
  </si>
  <si>
    <t>Done. 42.1% chance of breaking the floor by Year 3; you need a 6.5% annual escalator.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</si>
</sst>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6" borderId="2" xfId="0" applyFill="1" applyBorder="1" applyAlignment="1">
      <alignment vertical="top" wrapText="1"/>
    </xf>
    <xf numFmtId="0" fontId="7" fillId="6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Margin over the life of the contract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data'!$B$1</c:f>
              <c:strCache>
                <c:ptCount val="1"/>
                <c:pt idx="0">
                  <c:v>A bad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data'!$B$2:$B$4</c:f>
              <c:numCache>
                <c:formatCode>General</c:formatCode>
                <c:ptCount val="3"/>
                <c:pt idx="0">
                  <c:v>15</c:v>
                </c:pt>
                <c:pt idx="1">
                  <c:v>2.38</c:v>
                </c:pt>
                <c:pt idx="2">
                  <c:v>-2.62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Most likely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data'!$C$2:$C$4</c:f>
              <c:numCache>
                <c:formatCode>General</c:formatCode>
                <c:ptCount val="3"/>
                <c:pt idx="0">
                  <c:v>15</c:v>
                </c:pt>
                <c:pt idx="1">
                  <c:v>14.63</c:v>
                </c:pt>
                <c:pt idx="2">
                  <c:v>14.38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A good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data'!$D$2:$D$4</c:f>
              <c:numCache>
                <c:formatCode>General</c:formatCode>
                <c:ptCount val="3"/>
                <c:pt idx="0">
                  <c:v>15</c:v>
                </c:pt>
                <c:pt idx="1">
                  <c:v>25.66</c:v>
                </c:pt>
                <c:pt idx="2">
                  <c:v>28.69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Your 12% floor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margin lands in Year 3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data'!$H$1</c:f>
              <c:strCache>
                <c:ptCount val="1"/>
                <c:pt idx="0">
                  <c:v>Margin</c:v>
                </c:pt>
              </c:strCache>
            </c:strRef>
          </c:tx>
          <c:cat>
            <c:numRef>
              <c:f>'Chart data'!$G$2:$G$31</c:f>
              <c:numCache>
                <c:formatCode>General</c:formatCode>
                <c:ptCount val="30"/>
                <c:pt idx="0">
                  <c:v>-29.47</c:v>
                </c:pt>
                <c:pt idx="1">
                  <c:v>-27.10</c:v>
                </c:pt>
                <c:pt idx="2">
                  <c:v>-24.72</c:v>
                </c:pt>
                <c:pt idx="3">
                  <c:v>-22.35</c:v>
                </c:pt>
                <c:pt idx="4">
                  <c:v>-19.98</c:v>
                </c:pt>
                <c:pt idx="5">
                  <c:v>-17.61</c:v>
                </c:pt>
                <c:pt idx="6">
                  <c:v>-15.24</c:v>
                </c:pt>
                <c:pt idx="7">
                  <c:v>-12.87</c:v>
                </c:pt>
                <c:pt idx="8">
                  <c:v>-10.50</c:v>
                </c:pt>
                <c:pt idx="9">
                  <c:v>-8.13</c:v>
                </c:pt>
                <c:pt idx="10">
                  <c:v>-5.76</c:v>
                </c:pt>
                <c:pt idx="11">
                  <c:v>-3.39</c:v>
                </c:pt>
                <c:pt idx="12">
                  <c:v>-1.01</c:v>
                </c:pt>
                <c:pt idx="13">
                  <c:v>1.36</c:v>
                </c:pt>
                <c:pt idx="14">
                  <c:v>3.73</c:v>
                </c:pt>
                <c:pt idx="15">
                  <c:v>6.10</c:v>
                </c:pt>
                <c:pt idx="16">
                  <c:v>8.47</c:v>
                </c:pt>
                <c:pt idx="17">
                  <c:v>10.84</c:v>
                </c:pt>
                <c:pt idx="18">
                  <c:v>13.21</c:v>
                </c:pt>
                <c:pt idx="19">
                  <c:v>15.58</c:v>
                </c:pt>
                <c:pt idx="20">
                  <c:v>17.95</c:v>
                </c:pt>
                <c:pt idx="21">
                  <c:v>20.33</c:v>
                </c:pt>
                <c:pt idx="22">
                  <c:v>22.70</c:v>
                </c:pt>
                <c:pt idx="23">
                  <c:v>25.07</c:v>
                </c:pt>
                <c:pt idx="24">
                  <c:v>27.44</c:v>
                </c:pt>
                <c:pt idx="25">
                  <c:v>29.81</c:v>
                </c:pt>
                <c:pt idx="26">
                  <c:v>32.18</c:v>
                </c:pt>
                <c:pt idx="27">
                  <c:v>34.55</c:v>
                </c:pt>
                <c:pt idx="28">
                  <c:v>36.92</c:v>
                </c:pt>
                <c:pt idx="29">
                  <c:v>39.29</c:v>
                </c:pt>
              </c:numCache>
            </c:numRef>
          </c:cat>
          <c:val>
            <c:numRef>
              <c:f>'Chart data'!$H$2:$H$31</c:f>
              <c:numCache>
                <c:formatCode>General</c:formatCode>
                <c:ptCount val="30"/>
                <c:pt idx="0">
                  <c:v>2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5</c:v>
                </c:pt>
                <c:pt idx="8">
                  <c:v>4</c:v>
                </c:pt>
                <c:pt idx="9">
                  <c:v>8</c:v>
                </c:pt>
                <c:pt idx="10">
                  <c:v>16</c:v>
                </c:pt>
                <c:pt idx="11">
                  <c:v>13</c:v>
                </c:pt>
                <c:pt idx="12">
                  <c:v>32</c:v>
                </c:pt>
                <c:pt idx="13">
                  <c:v>43</c:v>
                </c:pt>
                <c:pt idx="14">
                  <c:v>60</c:v>
                </c:pt>
                <c:pt idx="15">
                  <c:v>66</c:v>
                </c:pt>
                <c:pt idx="16">
                  <c:v>77</c:v>
                </c:pt>
                <c:pt idx="17">
                  <c:v>91</c:v>
                </c:pt>
                <c:pt idx="18">
                  <c:v>82</c:v>
                </c:pt>
                <c:pt idx="19">
                  <c:v>101</c:v>
                </c:pt>
                <c:pt idx="20">
                  <c:v>87</c:v>
                </c:pt>
                <c:pt idx="21">
                  <c:v>64</c:v>
                </c:pt>
                <c:pt idx="22">
                  <c:v>74</c:v>
                </c:pt>
                <c:pt idx="23">
                  <c:v>79</c:v>
                </c:pt>
                <c:pt idx="24">
                  <c:v>41</c:v>
                </c:pt>
                <c:pt idx="25">
                  <c:v>28</c:v>
                </c:pt>
                <c:pt idx="26">
                  <c:v>9</c:v>
                </c:pt>
                <c:pt idx="27">
                  <c:v>5</c:v>
                </c:pt>
                <c:pt idx="28">
                  <c:v>3</c:v>
                </c:pt>
                <c:pt idx="29">
                  <c:v>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Chance of breaking the floor, year by year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data'!$K$1</c:f>
              <c:strCache>
                <c:ptCount val="1"/>
                <c:pt idx="0">
                  <c:v>Chance of breaking the floor</c:v>
                </c:pt>
              </c:strCache>
            </c:strRef>
          </c:tx>
          <c:cat>
            <c:strRef>
              <c:f>'Chart data'!$J$2:$J$4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data'!$K$2:$K$4</c:f>
              <c:numCache>
                <c:formatCode>General</c:formatCode>
                <c:ptCount val="3"/>
                <c:pt idx="0">
                  <c:v>0</c:v>
                </c:pt>
                <c:pt idx="1">
                  <c:v>36.4</c:v>
                </c:pt>
                <c:pt idx="2">
                  <c:v>42.1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breaking the floor (%)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9" t="s">
        <v>25</v>
      </c>
      <c r="B18" s="10" t="s">
        <v>26</v>
      </c>
      <c r="C18" s="9" t="s">
        <v>27</v>
      </c>
      <c r="D18" s="9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9" t="s">
        <v>37</v>
      </c>
      <c r="B21" s="10" t="s">
        <v>38</v>
      </c>
      <c r="C21" s="9" t="s">
        <v>39</v>
      </c>
      <c r="D21" s="9" t="s">
        <v>40</v>
      </c>
    </row>
    <row r="22" spans="1:4">
      <c r="A22" s="9" t="s">
        <v>41</v>
      </c>
      <c r="B22" s="10" t="s">
        <v>42</v>
      </c>
      <c r="C22" s="9" t="s">
        <v>43</v>
      </c>
      <c r="D22" s="9" t="s">
        <v>28</v>
      </c>
    </row>
    <row r="23" spans="1:4">
      <c r="A23" s="13" t="s">
        <v>44</v>
      </c>
      <c r="B23" s="14" t="s">
        <v>45</v>
      </c>
      <c r="C23" s="13" t="s">
        <v>46</v>
      </c>
      <c r="D23" s="13" t="s">
        <v>28</v>
      </c>
    </row>
    <row r="24" spans="1:4">
      <c r="A24" s="15" t="s">
        <v>47</v>
      </c>
      <c r="B24" s="16" t="s">
        <v>48</v>
      </c>
      <c r="C24" s="15" t="s">
        <v>49</v>
      </c>
      <c r="D24" s="15" t="s">
        <v>28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50</v>
      </c>
    </row>
    <row r="2" spans="1:2" ht="34" customHeight="1">
      <c r="A2" s="5" t="s">
        <v>51</v>
      </c>
      <c r="B2" s="5"/>
    </row>
    <row r="4" spans="1:2">
      <c r="A4" s="6" t="s">
        <v>52</v>
      </c>
      <c r="B4" s="3" t="s">
        <v>53</v>
      </c>
    </row>
    <row r="5" spans="1:2">
      <c r="A5" s="6" t="s">
        <v>54</v>
      </c>
      <c r="B5" s="3" t="s">
        <v>55</v>
      </c>
    </row>
    <row r="6" spans="1:2">
      <c r="A6" s="6" t="s">
        <v>56</v>
      </c>
      <c r="B6" s="3" t="s">
        <v>53</v>
      </c>
    </row>
    <row r="8" spans="1:2">
      <c r="A8" s="4" t="s">
        <v>57</v>
      </c>
    </row>
    <row r="9" spans="1:2">
      <c r="A9" s="6" t="s">
        <v>58</v>
      </c>
      <c r="B9" s="3" t="s">
        <v>59</v>
      </c>
    </row>
    <row r="10" spans="1:2">
      <c r="A10" s="6" t="s">
        <v>60</v>
      </c>
      <c r="B10" s="3" t="s">
        <v>61</v>
      </c>
    </row>
    <row r="11" spans="1:2">
      <c r="A11" s="6" t="s">
        <v>62</v>
      </c>
      <c r="B11" s="3" t="s">
        <v>63</v>
      </c>
    </row>
    <row r="13" spans="1:2">
      <c r="A13" s="4" t="s">
        <v>64</v>
      </c>
    </row>
    <row r="14" spans="1:2">
      <c r="A14" s="6" t="s">
        <v>65</v>
      </c>
      <c r="B14" s="3" t="s">
        <v>66</v>
      </c>
    </row>
    <row r="15" spans="1:2">
      <c r="A15" s="6" t="s">
        <v>67</v>
      </c>
      <c r="B15" s="3" t="s">
        <v>68</v>
      </c>
    </row>
    <row r="16" spans="1:2">
      <c r="A16" s="6" t="s">
        <v>69</v>
      </c>
      <c r="B16" s="3" t="s">
        <v>70</v>
      </c>
    </row>
    <row r="17" spans="1:2">
      <c r="A17" s="6" t="s">
        <v>71</v>
      </c>
      <c r="B17" s="3" t="s">
        <v>72</v>
      </c>
    </row>
    <row r="19" spans="1:2">
      <c r="A19" s="4" t="s">
        <v>73</v>
      </c>
    </row>
    <row r="20" spans="1:2">
      <c r="A20" s="6"/>
      <c r="B20" s="3" t="s">
        <v>74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showGridLines="0" workbookViewId="0"/>
  </sheetViews>
  <sheetFormatPr defaultRowHeight="15"/>
  <cols>
    <col min="1" max="5" width="16.7109375" customWidth="1"/>
    <col min="7" max="8" width="16.7109375" customWidth="1"/>
    <col min="10" max="11" width="16.7109375" customWidth="1"/>
  </cols>
  <sheetData>
    <row r="1" spans="1:11">
      <c r="A1" s="8" t="s">
        <v>76</v>
      </c>
      <c r="B1" s="8" t="s">
        <v>80</v>
      </c>
      <c r="C1" s="8" t="s">
        <v>81</v>
      </c>
      <c r="D1" s="8" t="s">
        <v>82</v>
      </c>
      <c r="E1" s="8" t="s">
        <v>83</v>
      </c>
      <c r="G1" s="8" t="s">
        <v>85</v>
      </c>
      <c r="H1" s="8" t="s">
        <v>116</v>
      </c>
      <c r="J1" s="8" t="s">
        <v>118</v>
      </c>
      <c r="K1" s="8" t="s">
        <v>119</v>
      </c>
    </row>
    <row r="2" spans="1:11">
      <c r="A2" s="17" t="s">
        <v>77</v>
      </c>
      <c r="B2" s="17">
        <v>15</v>
      </c>
      <c r="C2" s="17">
        <v>15</v>
      </c>
      <c r="D2" s="17">
        <v>15</v>
      </c>
      <c r="E2" s="17">
        <v>12</v>
      </c>
      <c r="G2" s="17" t="s">
        <v>86</v>
      </c>
      <c r="H2" s="17">
        <v>2</v>
      </c>
      <c r="J2" s="17" t="s">
        <v>77</v>
      </c>
      <c r="K2" s="17">
        <v>0</v>
      </c>
    </row>
    <row r="3" spans="1:11">
      <c r="A3" s="17" t="s">
        <v>78</v>
      </c>
      <c r="B3" s="17">
        <v>2.38</v>
      </c>
      <c r="C3" s="17">
        <v>14.63</v>
      </c>
      <c r="D3" s="17">
        <v>25.66</v>
      </c>
      <c r="E3" s="17">
        <v>12</v>
      </c>
      <c r="G3" s="17" t="s">
        <v>87</v>
      </c>
      <c r="H3" s="17">
        <v>0</v>
      </c>
      <c r="J3" s="17" t="s">
        <v>78</v>
      </c>
      <c r="K3" s="17">
        <v>36.4</v>
      </c>
    </row>
    <row r="4" spans="1:11">
      <c r="A4" s="17" t="s">
        <v>79</v>
      </c>
      <c r="B4" s="17">
        <v>-2.62</v>
      </c>
      <c r="C4" s="17">
        <v>14.38</v>
      </c>
      <c r="D4" s="17">
        <v>28.69</v>
      </c>
      <c r="E4" s="17">
        <v>12</v>
      </c>
      <c r="G4" s="17" t="s">
        <v>88</v>
      </c>
      <c r="H4" s="17">
        <v>3</v>
      </c>
      <c r="J4" s="17" t="s">
        <v>79</v>
      </c>
      <c r="K4" s="17">
        <v>42.1</v>
      </c>
    </row>
    <row r="5" spans="1:11">
      <c r="G5" s="17" t="s">
        <v>89</v>
      </c>
      <c r="H5" s="17">
        <v>0</v>
      </c>
    </row>
    <row r="6" spans="1:11">
      <c r="G6" s="17" t="s">
        <v>90</v>
      </c>
      <c r="H6" s="17">
        <v>0</v>
      </c>
    </row>
    <row r="7" spans="1:11">
      <c r="G7" s="17" t="s">
        <v>91</v>
      </c>
      <c r="H7" s="17">
        <v>1</v>
      </c>
    </row>
    <row r="8" spans="1:11">
      <c r="G8" s="17" t="s">
        <v>92</v>
      </c>
      <c r="H8" s="17">
        <v>0</v>
      </c>
    </row>
    <row r="9" spans="1:11">
      <c r="G9" s="17" t="s">
        <v>93</v>
      </c>
      <c r="H9" s="17">
        <v>5</v>
      </c>
    </row>
    <row r="10" spans="1:11">
      <c r="G10" s="17" t="s">
        <v>94</v>
      </c>
      <c r="H10" s="17">
        <v>4</v>
      </c>
    </row>
    <row r="11" spans="1:11">
      <c r="G11" s="17" t="s">
        <v>95</v>
      </c>
      <c r="H11" s="17">
        <v>8</v>
      </c>
    </row>
    <row r="12" spans="1:11">
      <c r="G12" s="17" t="s">
        <v>96</v>
      </c>
      <c r="H12" s="17">
        <v>16</v>
      </c>
    </row>
    <row r="13" spans="1:11">
      <c r="G13" s="17" t="s">
        <v>97</v>
      </c>
      <c r="H13" s="17">
        <v>13</v>
      </c>
    </row>
    <row r="14" spans="1:11">
      <c r="G14" s="17" t="s">
        <v>98</v>
      </c>
      <c r="H14" s="17">
        <v>32</v>
      </c>
    </row>
    <row r="15" spans="1:11">
      <c r="G15" s="17" t="s">
        <v>99</v>
      </c>
      <c r="H15" s="17">
        <v>43</v>
      </c>
    </row>
    <row r="16" spans="1:11">
      <c r="G16" s="17" t="s">
        <v>100</v>
      </c>
      <c r="H16" s="17">
        <v>60</v>
      </c>
    </row>
    <row r="17" spans="7:8">
      <c r="G17" s="17" t="s">
        <v>101</v>
      </c>
      <c r="H17" s="17">
        <v>66</v>
      </c>
    </row>
    <row r="18" spans="7:8">
      <c r="G18" s="17" t="s">
        <v>102</v>
      </c>
      <c r="H18" s="17">
        <v>77</v>
      </c>
    </row>
    <row r="19" spans="7:8">
      <c r="G19" s="17" t="s">
        <v>103</v>
      </c>
      <c r="H19" s="17">
        <v>91</v>
      </c>
    </row>
    <row r="20" spans="7:8">
      <c r="G20" s="17" t="s">
        <v>104</v>
      </c>
      <c r="H20" s="17">
        <v>82</v>
      </c>
    </row>
    <row r="21" spans="7:8">
      <c r="G21" s="17" t="s">
        <v>105</v>
      </c>
      <c r="H21" s="17">
        <v>101</v>
      </c>
    </row>
    <row r="22" spans="7:8">
      <c r="G22" s="17" t="s">
        <v>106</v>
      </c>
      <c r="H22" s="17">
        <v>87</v>
      </c>
    </row>
    <row r="23" spans="7:8">
      <c r="G23" s="17" t="s">
        <v>107</v>
      </c>
      <c r="H23" s="17">
        <v>64</v>
      </c>
    </row>
    <row r="24" spans="7:8">
      <c r="G24" s="17" t="s">
        <v>108</v>
      </c>
      <c r="H24" s="17">
        <v>74</v>
      </c>
    </row>
    <row r="25" spans="7:8">
      <c r="G25" s="17" t="s">
        <v>109</v>
      </c>
      <c r="H25" s="17">
        <v>79</v>
      </c>
    </row>
    <row r="26" spans="7:8">
      <c r="G26" s="17" t="s">
        <v>110</v>
      </c>
      <c r="H26" s="17">
        <v>41</v>
      </c>
    </row>
    <row r="27" spans="7:8">
      <c r="G27" s="17" t="s">
        <v>111</v>
      </c>
      <c r="H27" s="17">
        <v>28</v>
      </c>
    </row>
    <row r="28" spans="7:8">
      <c r="G28" s="17" t="s">
        <v>112</v>
      </c>
      <c r="H28" s="17">
        <v>9</v>
      </c>
    </row>
    <row r="29" spans="7:8">
      <c r="G29" s="17" t="s">
        <v>113</v>
      </c>
      <c r="H29" s="17">
        <v>5</v>
      </c>
    </row>
    <row r="30" spans="7:8">
      <c r="G30" s="17" t="s">
        <v>114</v>
      </c>
      <c r="H30" s="17">
        <v>3</v>
      </c>
    </row>
    <row r="31" spans="7:8">
      <c r="G31" s="17" t="s">
        <v>115</v>
      </c>
      <c r="H31" s="17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8" t="s">
        <v>75</v>
      </c>
    </row>
    <row r="3" spans="2:2">
      <c r="B3" t="s">
        <v>76</v>
      </c>
    </row>
    <row r="4" spans="2:2">
      <c r="B4" s="19" t="s">
        <v>84</v>
      </c>
    </row>
    <row r="25" spans="2:2">
      <c r="B25" t="s">
        <v>85</v>
      </c>
    </row>
    <row r="26" spans="2:2">
      <c r="B26" s="19" t="s">
        <v>117</v>
      </c>
    </row>
    <row r="47" spans="2:2">
      <c r="B47" t="s">
        <v>118</v>
      </c>
    </row>
    <row r="48" spans="2:2">
      <c r="B48" s="19" t="s">
        <v>120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6.7109375" customWidth="1"/>
    <col min="4" max="4" width="18.7109375" customWidth="1"/>
    <col min="5" max="5" width="22.7109375" customWidth="1"/>
    <col min="6" max="6" width="23.7109375" customWidth="1"/>
    <col min="7" max="7" width="25.7109375" customWidth="1"/>
    <col min="8" max="8" width="19.7109375" customWidth="1"/>
  </cols>
  <sheetData>
    <row r="1" spans="1:8">
      <c r="A1" s="4" t="s">
        <v>121</v>
      </c>
    </row>
    <row r="2" spans="1:8">
      <c r="A2" s="20" t="s">
        <v>122</v>
      </c>
    </row>
    <row r="4" spans="1:8" ht="24" customHeight="1">
      <c r="A4" s="8" t="s">
        <v>123</v>
      </c>
      <c r="B4" s="8" t="s">
        <v>124</v>
      </c>
      <c r="C4" s="8" t="s">
        <v>125</v>
      </c>
      <c r="D4" s="8" t="s">
        <v>126</v>
      </c>
      <c r="E4" s="8" t="s">
        <v>80</v>
      </c>
      <c r="F4" s="8" t="s">
        <v>82</v>
      </c>
      <c r="G4" s="8" t="s">
        <v>127</v>
      </c>
      <c r="H4" s="8" t="s">
        <v>128</v>
      </c>
    </row>
    <row r="5" spans="1:8">
      <c r="A5" s="17" t="s">
        <v>77</v>
      </c>
      <c r="B5" s="17" t="s">
        <v>129</v>
      </c>
      <c r="C5" s="17" t="s">
        <v>130</v>
      </c>
      <c r="D5" s="17" t="s">
        <v>131</v>
      </c>
      <c r="E5" s="17" t="s">
        <v>131</v>
      </c>
      <c r="F5" s="17" t="s">
        <v>131</v>
      </c>
      <c r="G5" s="17" t="s">
        <v>45</v>
      </c>
      <c r="H5" s="17" t="s">
        <v>45</v>
      </c>
    </row>
    <row r="6" spans="1:8">
      <c r="A6" s="17" t="s">
        <v>78</v>
      </c>
      <c r="B6" s="17" t="s">
        <v>129</v>
      </c>
      <c r="C6" s="17" t="s">
        <v>132</v>
      </c>
      <c r="D6" s="17" t="s">
        <v>133</v>
      </c>
      <c r="E6" s="17" t="s">
        <v>134</v>
      </c>
      <c r="F6" s="17" t="s">
        <v>135</v>
      </c>
      <c r="G6" s="17" t="s">
        <v>136</v>
      </c>
      <c r="H6" s="17" t="s">
        <v>137</v>
      </c>
    </row>
    <row r="7" spans="1:8">
      <c r="A7" s="16" t="s">
        <v>79</v>
      </c>
      <c r="B7" s="16" t="s">
        <v>129</v>
      </c>
      <c r="C7" s="16" t="s">
        <v>138</v>
      </c>
      <c r="D7" s="16" t="s">
        <v>34</v>
      </c>
      <c r="E7" s="16" t="s">
        <v>139</v>
      </c>
      <c r="F7" s="16" t="s">
        <v>140</v>
      </c>
      <c r="G7" s="16" t="s">
        <v>22</v>
      </c>
      <c r="H7" s="16" t="s">
        <v>141</v>
      </c>
    </row>
    <row r="9" spans="1:8">
      <c r="A9" s="20" t="s">
        <v>142</v>
      </c>
    </row>
  </sheetData>
  <autoFilter ref="A4:H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41.7109375" customWidth="1"/>
    <col min="3" max="3" width="38.7109375" customWidth="1"/>
    <col min="4" max="4" width="28.7109375" customWidth="1"/>
    <col min="5" max="5" width="26.7109375" customWidth="1"/>
    <col min="6" max="6" width="18.7109375" customWidth="1"/>
  </cols>
  <sheetData>
    <row r="1" spans="1:6">
      <c r="A1" s="4" t="s">
        <v>143</v>
      </c>
    </row>
    <row r="2" spans="1:6">
      <c r="A2" s="20" t="s">
        <v>144</v>
      </c>
    </row>
    <row r="4" spans="1:6" ht="24" customHeight="1">
      <c r="A4" s="8" t="s">
        <v>145</v>
      </c>
      <c r="B4" s="8" t="s">
        <v>146</v>
      </c>
      <c r="C4" s="8" t="s">
        <v>147</v>
      </c>
      <c r="D4" s="8" t="s">
        <v>148</v>
      </c>
      <c r="E4" s="8" t="s">
        <v>149</v>
      </c>
      <c r="F4" s="8" t="s">
        <v>150</v>
      </c>
    </row>
    <row r="5" spans="1:6">
      <c r="A5" s="17" t="s">
        <v>45</v>
      </c>
      <c r="B5" s="17" t="s">
        <v>22</v>
      </c>
      <c r="C5" s="17" t="s">
        <v>26</v>
      </c>
      <c r="D5" s="17" t="s">
        <v>34</v>
      </c>
      <c r="E5" s="17" t="s">
        <v>151</v>
      </c>
      <c r="F5" s="17" t="s">
        <v>152</v>
      </c>
    </row>
    <row r="6" spans="1:6">
      <c r="A6" s="17" t="s">
        <v>153</v>
      </c>
      <c r="B6" s="17" t="s">
        <v>154</v>
      </c>
      <c r="C6" s="17" t="s">
        <v>155</v>
      </c>
      <c r="D6" s="17" t="s">
        <v>156</v>
      </c>
      <c r="E6" s="17" t="s">
        <v>157</v>
      </c>
      <c r="F6" s="17" t="s">
        <v>152</v>
      </c>
    </row>
    <row r="7" spans="1:6">
      <c r="A7" s="17" t="s">
        <v>158</v>
      </c>
      <c r="B7" s="17" t="s">
        <v>159</v>
      </c>
      <c r="C7" s="17" t="s">
        <v>160</v>
      </c>
      <c r="D7" s="17" t="s">
        <v>161</v>
      </c>
      <c r="E7" s="17" t="s">
        <v>162</v>
      </c>
      <c r="F7" s="17" t="s">
        <v>152</v>
      </c>
    </row>
    <row r="8" spans="1:6">
      <c r="A8" s="17" t="s">
        <v>163</v>
      </c>
      <c r="B8" s="17" t="s">
        <v>164</v>
      </c>
      <c r="C8" s="17" t="s">
        <v>165</v>
      </c>
      <c r="D8" s="17" t="s">
        <v>166</v>
      </c>
      <c r="E8" s="17" t="s">
        <v>167</v>
      </c>
      <c r="F8" s="17" t="s">
        <v>152</v>
      </c>
    </row>
    <row r="9" spans="1:6">
      <c r="A9" s="17" t="s">
        <v>168</v>
      </c>
      <c r="B9" s="17" t="s">
        <v>169</v>
      </c>
      <c r="C9" s="17" t="s">
        <v>170</v>
      </c>
      <c r="D9" s="17" t="s">
        <v>171</v>
      </c>
      <c r="E9" s="17" t="s">
        <v>172</v>
      </c>
      <c r="F9" s="17" t="s">
        <v>152</v>
      </c>
    </row>
    <row r="10" spans="1:6">
      <c r="A10" s="17" t="s">
        <v>173</v>
      </c>
      <c r="B10" s="17" t="s">
        <v>174</v>
      </c>
      <c r="C10" s="17" t="s">
        <v>175</v>
      </c>
      <c r="D10" s="17" t="s">
        <v>176</v>
      </c>
      <c r="E10" s="17" t="s">
        <v>177</v>
      </c>
      <c r="F10" s="17" t="s">
        <v>152</v>
      </c>
    </row>
    <row r="11" spans="1:6">
      <c r="A11" s="17" t="s">
        <v>178</v>
      </c>
      <c r="B11" s="17" t="s">
        <v>179</v>
      </c>
      <c r="C11" s="17" t="s">
        <v>180</v>
      </c>
      <c r="D11" s="17" t="s">
        <v>181</v>
      </c>
      <c r="E11" s="17" t="s">
        <v>182</v>
      </c>
      <c r="F11" s="17" t="s">
        <v>152</v>
      </c>
    </row>
    <row r="12" spans="1:6">
      <c r="A12" s="17" t="s">
        <v>183</v>
      </c>
      <c r="B12" s="17" t="s">
        <v>184</v>
      </c>
      <c r="C12" s="17" t="s">
        <v>185</v>
      </c>
      <c r="D12" s="17" t="s">
        <v>186</v>
      </c>
      <c r="E12" s="17" t="s">
        <v>187</v>
      </c>
      <c r="F12" s="17" t="s">
        <v>152</v>
      </c>
    </row>
    <row r="13" spans="1:6">
      <c r="A13" s="17" t="s">
        <v>188</v>
      </c>
      <c r="B13" s="17" t="s">
        <v>189</v>
      </c>
      <c r="C13" s="17" t="s">
        <v>190</v>
      </c>
      <c r="D13" s="17" t="s">
        <v>191</v>
      </c>
      <c r="E13" s="17" t="s">
        <v>192</v>
      </c>
      <c r="F13" s="17" t="s">
        <v>152</v>
      </c>
    </row>
    <row r="14" spans="1:6">
      <c r="A14" s="17" t="s">
        <v>193</v>
      </c>
      <c r="B14" s="17" t="s">
        <v>194</v>
      </c>
      <c r="C14" s="17" t="s">
        <v>195</v>
      </c>
      <c r="D14" s="17" t="s">
        <v>196</v>
      </c>
      <c r="E14" s="17" t="s">
        <v>197</v>
      </c>
      <c r="F14" s="17" t="s">
        <v>152</v>
      </c>
    </row>
    <row r="15" spans="1:6">
      <c r="A15" s="17" t="s">
        <v>198</v>
      </c>
      <c r="B15" s="17" t="s">
        <v>199</v>
      </c>
      <c r="C15" s="17" t="s">
        <v>200</v>
      </c>
      <c r="D15" s="17" t="s">
        <v>201</v>
      </c>
      <c r="E15" s="17" t="s">
        <v>202</v>
      </c>
      <c r="F15" s="17" t="s">
        <v>152</v>
      </c>
    </row>
    <row r="16" spans="1:6">
      <c r="A16" s="17" t="s">
        <v>203</v>
      </c>
      <c r="B16" s="17" t="s">
        <v>204</v>
      </c>
      <c r="C16" s="17" t="s">
        <v>205</v>
      </c>
      <c r="D16" s="17" t="s">
        <v>206</v>
      </c>
      <c r="E16" s="17" t="s">
        <v>207</v>
      </c>
      <c r="F16" s="17" t="s">
        <v>152</v>
      </c>
    </row>
    <row r="17" spans="1:6">
      <c r="A17" s="17" t="s">
        <v>208</v>
      </c>
      <c r="B17" s="17" t="s">
        <v>209</v>
      </c>
      <c r="C17" s="17" t="s">
        <v>210</v>
      </c>
      <c r="D17" s="17" t="s">
        <v>211</v>
      </c>
      <c r="E17" s="17" t="s">
        <v>212</v>
      </c>
      <c r="F17" s="17" t="s">
        <v>152</v>
      </c>
    </row>
    <row r="18" spans="1:6">
      <c r="A18" s="16" t="s">
        <v>30</v>
      </c>
      <c r="B18" s="16" t="s">
        <v>213</v>
      </c>
      <c r="C18" s="16" t="s">
        <v>214</v>
      </c>
      <c r="D18" s="16" t="s">
        <v>215</v>
      </c>
      <c r="E18" s="16" t="s">
        <v>216</v>
      </c>
      <c r="F18" s="16" t="s">
        <v>217</v>
      </c>
    </row>
    <row r="19" spans="1:6">
      <c r="A19" s="17" t="s">
        <v>218</v>
      </c>
      <c r="B19" s="17" t="s">
        <v>219</v>
      </c>
      <c r="C19" s="17" t="s">
        <v>161</v>
      </c>
      <c r="D19" s="17" t="s">
        <v>220</v>
      </c>
      <c r="E19" s="17" t="s">
        <v>221</v>
      </c>
      <c r="F19" s="17" t="s">
        <v>217</v>
      </c>
    </row>
    <row r="20" spans="1:6">
      <c r="A20" s="17" t="s">
        <v>222</v>
      </c>
      <c r="B20" s="17" t="s">
        <v>223</v>
      </c>
      <c r="C20" s="17" t="s">
        <v>224</v>
      </c>
      <c r="D20" s="17" t="s">
        <v>225</v>
      </c>
      <c r="E20" s="17" t="s">
        <v>226</v>
      </c>
      <c r="F20" s="17" t="s">
        <v>217</v>
      </c>
    </row>
    <row r="21" spans="1:6">
      <c r="A21" s="17" t="s">
        <v>227</v>
      </c>
      <c r="B21" s="17" t="s">
        <v>198</v>
      </c>
      <c r="C21" s="17" t="s">
        <v>228</v>
      </c>
      <c r="D21" s="17" t="s">
        <v>229</v>
      </c>
      <c r="E21" s="17" t="s">
        <v>230</v>
      </c>
      <c r="F21" s="17" t="s">
        <v>217</v>
      </c>
    </row>
    <row r="23" spans="1:6">
      <c r="A23" s="20" t="s">
        <v>231</v>
      </c>
    </row>
  </sheetData>
  <autoFilter ref="A4:F2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3.7109375" customWidth="1"/>
    <col min="2" max="2" width="16.7109375" customWidth="1"/>
    <col min="3" max="3" width="14.7109375" customWidth="1"/>
    <col min="4" max="4" width="26.7109375" customWidth="1"/>
    <col min="5" max="5" width="13.7109375" customWidth="1"/>
    <col min="6" max="6" width="29.7109375" customWidth="1"/>
    <col min="7" max="7" width="32.7109375" customWidth="1"/>
  </cols>
  <sheetData>
    <row r="1" spans="1:7">
      <c r="A1" s="4" t="s">
        <v>232</v>
      </c>
    </row>
    <row r="2" spans="1:7">
      <c r="A2" s="20" t="s">
        <v>233</v>
      </c>
    </row>
    <row r="4" spans="1:7" ht="24" customHeight="1">
      <c r="A4" s="8" t="s">
        <v>234</v>
      </c>
      <c r="B4" s="8" t="s">
        <v>235</v>
      </c>
      <c r="C4" s="8" t="s">
        <v>236</v>
      </c>
      <c r="D4" s="8" t="s">
        <v>237</v>
      </c>
      <c r="E4" s="8" t="s">
        <v>238</v>
      </c>
      <c r="F4" s="8" t="s">
        <v>239</v>
      </c>
      <c r="G4" s="8" t="s">
        <v>240</v>
      </c>
    </row>
    <row r="5" spans="1:7">
      <c r="A5" s="17" t="s">
        <v>241</v>
      </c>
      <c r="B5" s="17" t="s">
        <v>242</v>
      </c>
      <c r="C5" s="17" t="s">
        <v>243</v>
      </c>
      <c r="D5" s="17" t="s">
        <v>45</v>
      </c>
      <c r="E5" s="17" t="s">
        <v>244</v>
      </c>
      <c r="F5" s="17" t="s">
        <v>245</v>
      </c>
      <c r="G5" s="17" t="s">
        <v>246</v>
      </c>
    </row>
    <row r="6" spans="1:7">
      <c r="A6" s="17" t="s">
        <v>247</v>
      </c>
      <c r="B6" s="17" t="s">
        <v>248</v>
      </c>
      <c r="C6" s="17" t="s">
        <v>249</v>
      </c>
      <c r="D6" s="17" t="s">
        <v>45</v>
      </c>
      <c r="E6" s="17" t="s">
        <v>204</v>
      </c>
      <c r="F6" s="17" t="s">
        <v>213</v>
      </c>
      <c r="G6" s="17" t="s">
        <v>250</v>
      </c>
    </row>
    <row r="7" spans="1:7">
      <c r="A7" s="17" t="s">
        <v>251</v>
      </c>
      <c r="B7" s="17" t="s">
        <v>242</v>
      </c>
      <c r="C7" s="17" t="s">
        <v>243</v>
      </c>
      <c r="D7" s="17" t="s">
        <v>45</v>
      </c>
      <c r="E7" s="17" t="s">
        <v>252</v>
      </c>
      <c r="F7" s="17" t="s">
        <v>219</v>
      </c>
      <c r="G7" s="17" t="s">
        <v>253</v>
      </c>
    </row>
    <row r="8" spans="1:7">
      <c r="A8" s="17" t="s">
        <v>254</v>
      </c>
      <c r="B8" s="17" t="s">
        <v>131</v>
      </c>
      <c r="C8" s="17" t="s">
        <v>255</v>
      </c>
      <c r="D8" s="17" t="s">
        <v>45</v>
      </c>
      <c r="E8" s="17" t="s">
        <v>256</v>
      </c>
      <c r="F8" s="17" t="s">
        <v>257</v>
      </c>
      <c r="G8" s="17" t="s">
        <v>258</v>
      </c>
    </row>
    <row r="9" spans="1:7">
      <c r="A9" s="17" t="s">
        <v>259</v>
      </c>
      <c r="B9" s="17" t="s">
        <v>28</v>
      </c>
      <c r="C9" s="17" t="s">
        <v>28</v>
      </c>
      <c r="D9" s="17" t="s">
        <v>260</v>
      </c>
      <c r="E9" s="17" t="s">
        <v>208</v>
      </c>
      <c r="F9" s="17" t="s">
        <v>261</v>
      </c>
      <c r="G9" s="17" t="s">
        <v>262</v>
      </c>
    </row>
  </sheetData>
  <autoFilter ref="A4:G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0.7109375" customWidth="1"/>
    <col min="2" max="2" width="29.7109375" customWidth="1"/>
    <col min="3" max="3" width="27.7109375" customWidth="1"/>
    <col min="4" max="4" width="13.7109375" customWidth="1"/>
  </cols>
  <sheetData>
    <row r="1" spans="1:4">
      <c r="A1" s="4" t="s">
        <v>263</v>
      </c>
    </row>
    <row r="2" spans="1:4">
      <c r="A2" s="20" t="s">
        <v>264</v>
      </c>
    </row>
    <row r="4" spans="1:4" ht="24" customHeight="1">
      <c r="A4" s="8" t="s">
        <v>265</v>
      </c>
      <c r="B4" s="8" t="s">
        <v>266</v>
      </c>
      <c r="C4" s="8" t="s">
        <v>267</v>
      </c>
      <c r="D4" s="8" t="s">
        <v>268</v>
      </c>
    </row>
    <row r="5" spans="1:4">
      <c r="A5" s="17" t="s">
        <v>269</v>
      </c>
      <c r="B5" s="17" t="s">
        <v>131</v>
      </c>
      <c r="C5" s="17" t="s">
        <v>131</v>
      </c>
      <c r="D5" s="17" t="s">
        <v>45</v>
      </c>
    </row>
    <row r="6" spans="1:4">
      <c r="A6" s="17" t="s">
        <v>270</v>
      </c>
      <c r="B6" s="17" t="s">
        <v>131</v>
      </c>
      <c r="C6" s="17" t="s">
        <v>34</v>
      </c>
      <c r="D6" s="17" t="s">
        <v>271</v>
      </c>
    </row>
    <row r="7" spans="1:4">
      <c r="A7" s="16" t="s">
        <v>149</v>
      </c>
      <c r="B7" s="16" t="s">
        <v>272</v>
      </c>
      <c r="C7" s="16" t="s">
        <v>151</v>
      </c>
      <c r="D7" s="16" t="s">
        <v>273</v>
      </c>
    </row>
    <row r="8" spans="1:4">
      <c r="A8" s="17" t="s">
        <v>146</v>
      </c>
      <c r="B8" s="17" t="s">
        <v>260</v>
      </c>
      <c r="C8" s="17" t="s">
        <v>22</v>
      </c>
      <c r="D8" s="17" t="s">
        <v>22</v>
      </c>
    </row>
    <row r="9" spans="1:4">
      <c r="A9" s="17" t="s">
        <v>147</v>
      </c>
      <c r="B9" s="17" t="s">
        <v>260</v>
      </c>
      <c r="C9" s="17" t="s">
        <v>26</v>
      </c>
      <c r="D9" s="17" t="s">
        <v>26</v>
      </c>
    </row>
    <row r="11" spans="1:4">
      <c r="A11" s="20" t="s">
        <v>274</v>
      </c>
    </row>
  </sheetData>
  <autoFilter ref="A4:D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8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275</v>
      </c>
    </row>
    <row r="3" spans="1:2">
      <c r="A3" s="6" t="s">
        <v>276</v>
      </c>
    </row>
    <row r="4" spans="1:2">
      <c r="A4" s="6" t="s">
        <v>277</v>
      </c>
      <c r="B4" s="21" t="s">
        <v>278</v>
      </c>
    </row>
    <row r="5" spans="1:2">
      <c r="A5" s="6" t="s">
        <v>277</v>
      </c>
      <c r="B5" s="21" t="s">
        <v>279</v>
      </c>
    </row>
    <row r="6" spans="1:2">
      <c r="A6" s="6" t="s">
        <v>277</v>
      </c>
      <c r="B6" s="21" t="s">
        <v>280</v>
      </c>
    </row>
    <row r="8" spans="1:2">
      <c r="A8" s="6" t="s">
        <v>281</v>
      </c>
    </row>
    <row r="9" spans="1:2">
      <c r="A9" s="6">
        <v>1</v>
      </c>
      <c r="B9" s="3" t="s">
        <v>282</v>
      </c>
    </row>
    <row r="10" spans="1:2">
      <c r="A10" s="6">
        <v>2</v>
      </c>
      <c r="B10" s="3" t="s">
        <v>283</v>
      </c>
    </row>
    <row r="11" spans="1:2">
      <c r="A11" s="6">
        <v>3</v>
      </c>
      <c r="B11" s="3" t="s">
        <v>284</v>
      </c>
    </row>
    <row r="12" spans="1:2">
      <c r="A12" s="6">
        <v>4</v>
      </c>
      <c r="B12" s="3" t="s">
        <v>285</v>
      </c>
    </row>
    <row r="13" spans="1:2">
      <c r="A13" s="6">
        <v>5</v>
      </c>
      <c r="B13" s="3" t="s">
        <v>286</v>
      </c>
    </row>
    <row r="14" spans="1:2">
      <c r="A14" s="6">
        <v>6</v>
      </c>
      <c r="B14" s="3" t="s">
        <v>287</v>
      </c>
    </row>
    <row r="15" spans="1:2">
      <c r="A15" s="6">
        <v>7</v>
      </c>
      <c r="B15" s="3" t="s">
        <v>288</v>
      </c>
    </row>
    <row r="16" spans="1:2">
      <c r="A16" s="6">
        <v>8</v>
      </c>
      <c r="B16" s="3" t="s">
        <v>289</v>
      </c>
    </row>
    <row r="17" spans="1:2">
      <c r="A17" s="6">
        <v>9</v>
      </c>
      <c r="B17" s="3" t="s">
        <v>290</v>
      </c>
    </row>
    <row r="18" spans="1:2">
      <c r="A18" s="6">
        <v>10</v>
      </c>
      <c r="B18" s="3" t="s">
        <v>291</v>
      </c>
    </row>
    <row r="19" spans="1:2">
      <c r="A19" s="6">
        <v>11</v>
      </c>
      <c r="B19" s="3" t="s">
        <v>292</v>
      </c>
    </row>
    <row r="20" spans="1:2">
      <c r="A20" s="6">
        <v>12</v>
      </c>
      <c r="B20" s="3" t="s">
        <v>293</v>
      </c>
    </row>
    <row r="21" spans="1:2">
      <c r="A21" s="6">
        <v>13</v>
      </c>
      <c r="B21" s="3" t="s">
        <v>294</v>
      </c>
    </row>
    <row r="22" spans="1:2">
      <c r="A22" s="6">
        <v>14</v>
      </c>
      <c r="B22" s="3" t="s">
        <v>295</v>
      </c>
    </row>
    <row r="23" spans="1:2">
      <c r="A23" s="6">
        <v>15</v>
      </c>
      <c r="B23" s="3" t="s">
        <v>296</v>
      </c>
    </row>
    <row r="24" spans="1:2">
      <c r="A24" s="6">
        <v>16</v>
      </c>
      <c r="B24" s="3" t="s">
        <v>297</v>
      </c>
    </row>
    <row r="25" spans="1:2">
      <c r="A25" s="6">
        <v>17</v>
      </c>
      <c r="B25" s="3" t="s">
        <v>298</v>
      </c>
    </row>
    <row r="26" spans="1:2">
      <c r="A26" s="6">
        <v>18</v>
      </c>
      <c r="B26" s="3" t="s">
        <v>299</v>
      </c>
    </row>
    <row r="27" spans="1:2">
      <c r="A27" s="6">
        <v>19</v>
      </c>
      <c r="B27" s="3" t="s">
        <v>300</v>
      </c>
    </row>
    <row r="28" spans="1:2">
      <c r="A28" s="6">
        <v>20</v>
      </c>
      <c r="B28" s="3" t="s">
        <v>301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302</v>
      </c>
      <c r="B1" s="8" t="s">
        <v>303</v>
      </c>
      <c r="C1" s="8" t="s">
        <v>304</v>
      </c>
      <c r="D1" s="8" t="s">
        <v>305</v>
      </c>
    </row>
    <row r="2" spans="1:4">
      <c r="A2" s="22" t="s">
        <v>306</v>
      </c>
      <c r="B2" s="17" t="s">
        <v>307</v>
      </c>
      <c r="C2" s="23" t="s">
        <v>308</v>
      </c>
      <c r="D2" s="23"/>
    </row>
    <row r="3" spans="1:4">
      <c r="A3" s="22" t="s">
        <v>306</v>
      </c>
      <c r="B3" s="17" t="s">
        <v>307</v>
      </c>
      <c r="C3" s="23" t="s">
        <v>309</v>
      </c>
      <c r="D3" s="23"/>
    </row>
    <row r="4" spans="1:4">
      <c r="A4" s="22" t="s">
        <v>306</v>
      </c>
      <c r="B4" s="17" t="s">
        <v>307</v>
      </c>
      <c r="C4" s="23" t="s">
        <v>310</v>
      </c>
      <c r="D4" s="23"/>
    </row>
    <row r="5" spans="1:4">
      <c r="A5" s="22" t="s">
        <v>306</v>
      </c>
      <c r="B5" s="17" t="s">
        <v>307</v>
      </c>
      <c r="C5" s="23" t="s">
        <v>311</v>
      </c>
      <c r="D5" s="23"/>
    </row>
    <row r="6" spans="1:4">
      <c r="A6" s="22" t="s">
        <v>306</v>
      </c>
      <c r="B6" s="17" t="s">
        <v>307</v>
      </c>
      <c r="C6" s="23" t="s">
        <v>312</v>
      </c>
      <c r="D6" s="23"/>
    </row>
    <row r="7" spans="1:4">
      <c r="A7" s="22" t="s">
        <v>306</v>
      </c>
      <c r="B7" s="17" t="s">
        <v>307</v>
      </c>
      <c r="C7" s="23" t="s">
        <v>313</v>
      </c>
      <c r="D7" s="23"/>
    </row>
    <row r="8" spans="1:4">
      <c r="A8" s="22" t="s">
        <v>306</v>
      </c>
      <c r="B8" s="17" t="s">
        <v>307</v>
      </c>
      <c r="C8" s="23" t="s">
        <v>314</v>
      </c>
      <c r="D8" s="23"/>
    </row>
    <row r="9" spans="1:4">
      <c r="A9" s="22" t="s">
        <v>306</v>
      </c>
      <c r="B9" s="17" t="s">
        <v>307</v>
      </c>
      <c r="C9" s="23" t="s">
        <v>315</v>
      </c>
      <c r="D9" s="23"/>
    </row>
    <row r="10" spans="1:4">
      <c r="A10" s="22" t="s">
        <v>306</v>
      </c>
      <c r="B10" s="17" t="s">
        <v>307</v>
      </c>
      <c r="C10" s="23" t="s">
        <v>316</v>
      </c>
      <c r="D10" s="23"/>
    </row>
    <row r="11" spans="1:4">
      <c r="A11" s="22" t="s">
        <v>306</v>
      </c>
      <c r="B11" s="17" t="s">
        <v>307</v>
      </c>
      <c r="C11" s="23" t="s">
        <v>317</v>
      </c>
      <c r="D11" s="23"/>
    </row>
    <row r="12" spans="1:4">
      <c r="A12" s="22" t="s">
        <v>306</v>
      </c>
      <c r="B12" s="17" t="s">
        <v>307</v>
      </c>
      <c r="C12" s="23" t="s">
        <v>293</v>
      </c>
      <c r="D12" s="23" t="s">
        <v>318</v>
      </c>
    </row>
    <row r="13" spans="1:4">
      <c r="A13" s="22" t="s">
        <v>306</v>
      </c>
      <c r="B13" s="17" t="s">
        <v>307</v>
      </c>
      <c r="C13" s="23" t="s">
        <v>294</v>
      </c>
      <c r="D13" s="23" t="s">
        <v>318</v>
      </c>
    </row>
    <row r="14" spans="1:4">
      <c r="A14" s="22" t="s">
        <v>306</v>
      </c>
      <c r="B14" s="17" t="s">
        <v>307</v>
      </c>
      <c r="C14" s="23" t="s">
        <v>295</v>
      </c>
      <c r="D14" s="23" t="s">
        <v>318</v>
      </c>
    </row>
    <row r="15" spans="1:4">
      <c r="A15" s="22" t="s">
        <v>306</v>
      </c>
      <c r="B15" s="17" t="s">
        <v>307</v>
      </c>
      <c r="C15" s="23" t="s">
        <v>296</v>
      </c>
      <c r="D15" s="23" t="s">
        <v>318</v>
      </c>
    </row>
    <row r="16" spans="1:4">
      <c r="A16" s="22" t="s">
        <v>306</v>
      </c>
      <c r="B16" s="17" t="s">
        <v>307</v>
      </c>
      <c r="C16" s="23" t="s">
        <v>297</v>
      </c>
      <c r="D16" s="23" t="s">
        <v>318</v>
      </c>
    </row>
    <row r="17" spans="1:4">
      <c r="A17" s="22" t="s">
        <v>306</v>
      </c>
      <c r="B17" s="17" t="s">
        <v>307</v>
      </c>
      <c r="C17" s="23" t="s">
        <v>298</v>
      </c>
      <c r="D17" s="23" t="s">
        <v>318</v>
      </c>
    </row>
    <row r="18" spans="1:4">
      <c r="A18" s="22" t="s">
        <v>306</v>
      </c>
      <c r="B18" s="17" t="s">
        <v>307</v>
      </c>
      <c r="C18" s="23" t="s">
        <v>299</v>
      </c>
      <c r="D18" s="23" t="s">
        <v>318</v>
      </c>
    </row>
    <row r="19" spans="1:4">
      <c r="A19" s="22" t="s">
        <v>306</v>
      </c>
      <c r="B19" s="17" t="s">
        <v>307</v>
      </c>
      <c r="C19" s="23" t="s">
        <v>300</v>
      </c>
      <c r="D19" s="23" t="s">
        <v>318</v>
      </c>
    </row>
    <row r="20" spans="1:4">
      <c r="A20" s="22" t="s">
        <v>306</v>
      </c>
      <c r="B20" s="17" t="s">
        <v>307</v>
      </c>
      <c r="C20" s="23" t="s">
        <v>301</v>
      </c>
      <c r="D20" s="23" t="s">
        <v>318</v>
      </c>
    </row>
    <row r="21" spans="1:4">
      <c r="A21" s="22" t="s">
        <v>306</v>
      </c>
      <c r="B21" s="17" t="s">
        <v>307</v>
      </c>
      <c r="C21" s="23" t="s">
        <v>319</v>
      </c>
      <c r="D21" s="23"/>
    </row>
    <row r="22" spans="1:4">
      <c r="A22" s="22" t="s">
        <v>306</v>
      </c>
      <c r="B22" s="17" t="s">
        <v>320</v>
      </c>
      <c r="C22" s="23" t="s">
        <v>321</v>
      </c>
      <c r="D22" s="23"/>
    </row>
    <row r="23" spans="1:4">
      <c r="A23" s="22" t="s">
        <v>306</v>
      </c>
      <c r="B23" s="17" t="s">
        <v>322</v>
      </c>
      <c r="C23" s="23" t="s">
        <v>323</v>
      </c>
      <c r="D23" s="23"/>
    </row>
    <row r="24" spans="1:4">
      <c r="A24" s="22" t="s">
        <v>306</v>
      </c>
      <c r="B24" s="17" t="s">
        <v>322</v>
      </c>
      <c r="C24" s="23" t="s">
        <v>324</v>
      </c>
      <c r="D24" s="23"/>
    </row>
    <row r="25" spans="1:4">
      <c r="A25" s="22" t="s">
        <v>306</v>
      </c>
      <c r="B25" s="17" t="s">
        <v>322</v>
      </c>
      <c r="C25" s="23" t="s">
        <v>325</v>
      </c>
      <c r="D25" s="23" t="s">
        <v>326</v>
      </c>
    </row>
    <row r="26" spans="1:4">
      <c r="A26" s="22" t="s">
        <v>306</v>
      </c>
      <c r="B26" s="17" t="s">
        <v>320</v>
      </c>
      <c r="C26" s="23" t="s">
        <v>327</v>
      </c>
      <c r="D26" s="23" t="s">
        <v>328</v>
      </c>
    </row>
    <row r="27" spans="1:4">
      <c r="A27" s="22" t="s">
        <v>329</v>
      </c>
      <c r="B27" s="17" t="s">
        <v>320</v>
      </c>
      <c r="C27" s="23" t="s">
        <v>330</v>
      </c>
      <c r="D27" s="23"/>
    </row>
    <row r="28" spans="1:4">
      <c r="A28" s="22" t="s">
        <v>329</v>
      </c>
      <c r="B28" s="17" t="s">
        <v>320</v>
      </c>
      <c r="C28" s="23" t="s">
        <v>331</v>
      </c>
      <c r="D28" s="23"/>
    </row>
    <row r="29" spans="1:4">
      <c r="A29" s="22" t="s">
        <v>329</v>
      </c>
      <c r="B29" s="17" t="s">
        <v>320</v>
      </c>
      <c r="C29" s="23" t="s">
        <v>332</v>
      </c>
      <c r="D29" s="23"/>
    </row>
    <row r="30" spans="1:4">
      <c r="A30" s="22" t="s">
        <v>329</v>
      </c>
      <c r="B30" s="17" t="s">
        <v>320</v>
      </c>
      <c r="C30" s="23" t="s">
        <v>333</v>
      </c>
      <c r="D30" s="23"/>
    </row>
    <row r="31" spans="1:4">
      <c r="A31" s="22" t="s">
        <v>329</v>
      </c>
      <c r="B31" s="17" t="s">
        <v>320</v>
      </c>
      <c r="C31" s="23" t="s">
        <v>334</v>
      </c>
      <c r="D31" s="23"/>
    </row>
    <row r="32" spans="1:4">
      <c r="A32" s="22" t="s">
        <v>329</v>
      </c>
      <c r="B32" s="17" t="s">
        <v>320</v>
      </c>
      <c r="C32" s="23" t="s">
        <v>335</v>
      </c>
      <c r="D32" s="23"/>
    </row>
    <row r="33" spans="1:4">
      <c r="A33" s="22" t="s">
        <v>329</v>
      </c>
      <c r="B33" s="17" t="s">
        <v>320</v>
      </c>
      <c r="C33" s="23" t="s">
        <v>336</v>
      </c>
      <c r="D33" s="23"/>
    </row>
    <row r="34" spans="1:4">
      <c r="A34" s="22" t="s">
        <v>329</v>
      </c>
      <c r="B34" s="17" t="s">
        <v>320</v>
      </c>
      <c r="C34" s="23" t="s">
        <v>337</v>
      </c>
      <c r="D34" s="23"/>
    </row>
    <row r="35" spans="1:4">
      <c r="A35" s="22" t="s">
        <v>329</v>
      </c>
      <c r="B35" s="17" t="s">
        <v>338</v>
      </c>
      <c r="C35" s="23" t="s">
        <v>339</v>
      </c>
      <c r="D35" s="23"/>
    </row>
    <row r="36" spans="1:4">
      <c r="A36" s="22" t="s">
        <v>329</v>
      </c>
      <c r="B36" s="17" t="s">
        <v>338</v>
      </c>
      <c r="C36" s="23" t="s">
        <v>340</v>
      </c>
      <c r="D36" s="23"/>
    </row>
    <row r="37" spans="1:4">
      <c r="A37" s="22" t="s">
        <v>329</v>
      </c>
      <c r="B37" s="17" t="s">
        <v>338</v>
      </c>
      <c r="C37" s="23" t="s">
        <v>341</v>
      </c>
      <c r="D37" s="23"/>
    </row>
    <row r="38" spans="1:4">
      <c r="A38" s="22" t="s">
        <v>329</v>
      </c>
      <c r="B38" s="17" t="s">
        <v>338</v>
      </c>
      <c r="C38" s="23" t="s">
        <v>342</v>
      </c>
      <c r="D38" s="23"/>
    </row>
  </sheetData>
  <autoFilter ref="A1:D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Year by year</vt:lpstr>
      <vt:lpstr>Searching for the breakeven esc</vt:lpstr>
      <vt:lpstr>What goes into the model</vt:lpstr>
      <vt:lpstr>The bottom line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2026-09-21T18:08:28Z</dcterms:created>
  <dcterms:modified xsi:type="dcterms:W3CDTF">2026-09-21T18:08:28Z</dcterms:modified>
</cp:coreProperties>
</file>