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Recommendation" sheetId="2" r:id="rId2"/>
    <sheet name="Chart data" sheetId="3" r:id="rId3"/>
    <sheet name="Charts" sheetId="4" r:id="rId4"/>
    <sheet name="The three strategies compared" sheetId="5" r:id="rId5"/>
    <sheet name="What happens to each tier under" sheetId="6" r:id="rId6"/>
    <sheet name="Quarter by quarter - best call" sheetId="7" r:id="rId7"/>
    <sheet name="How far the rival's undercut ca" sheetId="8" r:id="rId8"/>
    <sheet name="Assumptions" sheetId="9" r:id="rId9"/>
    <sheet name="Run log" sheetId="10" r:id="rId10"/>
  </sheets>
  <definedNames>
    <definedName name="_xlnm._FilterDatabase" localSheetId="7" hidden="1">'How far the rival''s undercut ca'!$A$4:$F$25</definedName>
    <definedName name="_xlnm._FilterDatabase" localSheetId="6" hidden="1">'Quarter by quarter - best call'!$A$4:$F$12</definedName>
    <definedName name="_xlnm._FilterDatabase" localSheetId="9" hidden="1">'Run log'!$A$1:$D$41</definedName>
    <definedName name="_xlnm._FilterDatabase" localSheetId="4" hidden="1">'The three strategies compared'!$A$4:$I$7</definedName>
    <definedName name="_xlnm._FilterDatabase" localSheetId="5" hidden="1">'What happens to each tier under'!$A$4:$J$5</definedName>
  </definedNames>
  <calcPr calcId="124519" fullCalcOnLoad="1"/>
</workbook>
</file>

<file path=xl/sharedStrings.xml><?xml version="1.0" encoding="utf-8"?>
<sst xmlns="http://schemas.openxmlformats.org/spreadsheetml/2006/main" count="532" uniqueCount="360">
  <si>
    <t>Simulation Arena</t>
  </si>
  <si>
    <t>Competitor Pricing: The Virtual War Room</t>
  </si>
  <si>
    <t>Match every cut - on these numbers it earns the most profit: $6,508.88M over 8 quarters, $2,190.36M more than Defensible niche.</t>
  </si>
  <si>
    <t>What we did</t>
  </si>
  <si>
    <t>We built a virtual market out of your accounts. Each buyer has a budget, a price sensitivity and a supplier they use today. Every quarter the rivals set a price, you answer with one of three strategies, and each buyer picks a supplier - the cheapest offer usually wins, but habit, the hassle of switching and a priority-support promise all count. We then played all 2 years out 100 times for each strategy, so every number below is an average across 100 different versions of the future, with the likely range shown around it. We then ranked the three strategies on the measure you chose and re-ran the market at a range of rival undercuts to see how far the answer travels before it changes.</t>
  </si>
  <si>
    <t>Seed</t>
  </si>
  <si>
    <t>Run id</t>
  </si>
  <si>
    <t>run_87b546e681ce</t>
  </si>
  <si>
    <t>Generated</t>
  </si>
  <si>
    <t>21 Sep 2026 20:59</t>
  </si>
  <si>
    <t>Scenarios tested</t>
  </si>
  <si>
    <t>5,424</t>
  </si>
  <si>
    <t>Method</t>
  </si>
  <si>
    <t>Agent-based market simulation (virtual buyers, three suppliers)</t>
  </si>
  <si>
    <t>Reproducible</t>
  </si>
  <si>
    <t>Same seed gives the same numbers</t>
  </si>
  <si>
    <t>The numbers that matter</t>
  </si>
  <si>
    <t>Number</t>
  </si>
  <si>
    <t>Value</t>
  </si>
  <si>
    <t>What it means</t>
  </si>
  <si>
    <t>Compared with</t>
  </si>
  <si>
    <t>Best call on these numbers</t>
  </si>
  <si>
    <t>Match every cut</t>
  </si>
  <si>
    <t>It scores best on profit across 100 versions of the next 8 quarters.</t>
  </si>
  <si>
    <t>$2,190.36M more than Defensible niche</t>
  </si>
  <si>
    <t>Profit if you match every cut</t>
  </si>
  <si>
    <t>$6,508.88M</t>
  </si>
  <si>
    <t>The best of the three on profit: $2,190.36M more than Defensible niche.</t>
  </si>
  <si>
    <t>-19.9% price vs today, 93.9% of accounts served</t>
  </si>
  <si>
    <t>Profit if you defend a niche</t>
  </si>
  <si>
    <t>$4,318.52M</t>
  </si>
  <si>
    <t>$2,190.36M less profit over 8 quarters than Match every cut.</t>
  </si>
  <si>
    <t>-19.4% price vs today, 20.6% of accounts served</t>
  </si>
  <si>
    <t>Profit if you hold the line</t>
  </si>
  <si>
    <t>$1,675.29M</t>
  </si>
  <si>
    <t>$4,833.59M less profit over 8 quarters than Match every cut.</t>
  </si>
  <si>
    <t>+0.0% price vs today, 3.9% of accounts served</t>
  </si>
  <si>
    <t>Top-tier accounts you keep</t>
  </si>
  <si>
    <t>93.9%</t>
  </si>
  <si>
    <t>Of the top accounts you serve today, this many are still yours at the end under the best call.</t>
  </si>
  <si>
    <t>target 88.0%</t>
  </si>
  <si>
    <t>Accounts lost to rivals</t>
  </si>
  <si>
    <t>19,021</t>
  </si>
  <si>
    <t>Accounts that walked to a competitor across 100 versions of the two years under the best call.</t>
  </si>
  <si>
    <t>19,021 if you match everything</t>
  </si>
  <si>
    <t>Break-even rival undercut</t>
  </si>
  <si>
    <t>none in 0-40%</t>
  </si>
  <si>
    <t>Not found between 0% and 40% - the recommendation does not change anywhere in that range.</t>
  </si>
  <si>
    <t>-</t>
  </si>
  <si>
    <t>How far the rival can move before the answer changes</t>
  </si>
  <si>
    <t>0%-40% undercut</t>
  </si>
  <si>
    <t>Match every cut stays the best call everywhere we tested, from 0% to 40% undercut. Only the rival's undercut is moved here; everything else stays as you set it.</t>
  </si>
  <si>
    <t>Recommendation</t>
  </si>
  <si>
    <t>Authorise matching the rival's cuts - on these numbers it earns more profit than holding firm.</t>
  </si>
  <si>
    <t>Risk</t>
  </si>
  <si>
    <t>Low</t>
  </si>
  <si>
    <t>Risk score</t>
  </si>
  <si>
    <t>25 out of 100</t>
  </si>
  <si>
    <t>Confidence</t>
  </si>
  <si>
    <t>High</t>
  </si>
  <si>
    <t>Why</t>
  </si>
  <si>
    <t>1.</t>
  </si>
  <si>
    <t>Match every cut scores best on profit: $6,508.88M over 8 quarters, against $6,508.88M for matching every cut.</t>
  </si>
  <si>
    <t>2.</t>
  </si>
  <si>
    <t>Matching every cut leaves your average price -19.9% versus today and serves 93.9% of the accounts; Match every cut serves 93.9% at -19.9%.</t>
  </si>
  <si>
    <t>3.</t>
  </si>
  <si>
    <t>What to do</t>
  </si>
  <si>
    <t>Action 1</t>
  </si>
  <si>
    <t>Tell sales to match the rival's cut on the accounts we want to keep.</t>
  </si>
  <si>
    <t>Action 2</t>
  </si>
  <si>
    <t>Cap the match at 12.0% margin - below that, walk away.</t>
  </si>
  <si>
    <t>Action 3</t>
  </si>
  <si>
    <t>Keep the priority-support promise, but charge for it where the account will pay.</t>
  </si>
  <si>
    <t>Action 4</t>
  </si>
  <si>
    <t>Re-check monthly: the answer held everywhere from 0% to 40% undercut.</t>
  </si>
  <si>
    <t>Trade-off</t>
  </si>
  <si>
    <t>You are choosing $6,508.88M of profit with Match every cut over $6,508.88M with matching every cut - a difference of $0.</t>
  </si>
  <si>
    <t>Charts</t>
  </si>
  <si>
    <t>What happens to your price</t>
  </si>
  <si>
    <t>Q1</t>
  </si>
  <si>
    <t>Q2</t>
  </si>
  <si>
    <t>Q3</t>
  </si>
  <si>
    <t>Q4</t>
  </si>
  <si>
    <t>Q5</t>
  </si>
  <si>
    <t>Q6</t>
  </si>
  <si>
    <t>Q7</t>
  </si>
  <si>
    <t>Q8</t>
  </si>
  <si>
    <t>Defensible niche</t>
  </si>
  <si>
    <t>Hold the line</t>
  </si>
  <si>
    <t>Best call - likely low</t>
  </si>
  <si>
    <t>Best call - likely high</t>
  </si>
  <si>
    <t>Each line is the average price you charge each quarter under one strategy. The band is the range of outcomes across the versions we played for the best call. A line that ends lower means more of a discount was given away.</t>
  </si>
  <si>
    <t>What happens to profit</t>
  </si>
  <si>
    <t>Profit per quarter under each strategy. The line that ends highest is the one that earns the most; which line that is comes from the simulation, not from a rule of thumb.</t>
  </si>
  <si>
    <t>The scoreboard</t>
  </si>
  <si>
    <t>Price vs today</t>
  </si>
  <si>
    <t>Top accounts kept</t>
  </si>
  <si>
    <t>Profit over 2 years</t>
  </si>
  <si>
    <t>Accounts served</t>
  </si>
  <si>
    <t>Four measures, three strategies, all on one axis so the bars can be compared within each group. Price is a change versus today, top accounts kept and accounts served are percentages, and profit over the whole period is in millions.</t>
  </si>
  <si>
    <t>The three strategies compared</t>
  </si>
  <si>
    <t>Every figure is an average of 100 simulated versions of the next 8 quarters. Ranked on profit.</t>
  </si>
  <si>
    <t>Strategy</t>
  </si>
  <si>
    <t>Revenue (2 yrs)</t>
  </si>
  <si>
    <t>Profit (2 yrs)</t>
  </si>
  <si>
    <t>Profit margin</t>
  </si>
  <si>
    <t>Top-tier kept</t>
  </si>
  <si>
    <t>Moves to a rival</t>
  </si>
  <si>
    <t>Verdict</t>
  </si>
  <si>
    <t>-19.9%</t>
  </si>
  <si>
    <t>$45,184.77M</t>
  </si>
  <si>
    <t>14.4%</t>
  </si>
  <si>
    <t>Recommended</t>
  </si>
  <si>
    <t>-19.4%</t>
  </si>
  <si>
    <t>$19,156.94M</t>
  </si>
  <si>
    <t>22.6%</t>
  </si>
  <si>
    <t>20.6%</t>
  </si>
  <si>
    <t>50,286</t>
  </si>
  <si>
    <t>Not recommended - $2,190.36M less profit over 8 quarters</t>
  </si>
  <si>
    <t>+0.0%</t>
  </si>
  <si>
    <t>$5,958.85M</t>
  </si>
  <si>
    <t>28.3%</t>
  </si>
  <si>
    <t>3.9%</t>
  </si>
  <si>
    <t>52,630</t>
  </si>
  <si>
    <t>Not recommended - $4,833.59M less profit over 8 quarters</t>
  </si>
  <si>
    <t>Row 1 is the best call on profit.</t>
  </si>
  <si>
    <t>What happens to each tier under the best call (Match every cut)</t>
  </si>
  <si>
    <t>Where you defend, where you let go, and what each tier earns you.</t>
  </si>
  <si>
    <t>Tier</t>
  </si>
  <si>
    <t>Accounts</t>
  </si>
  <si>
    <t>Yours today</t>
  </si>
  <si>
    <t>Yours after 2 yrs</t>
  </si>
  <si>
    <t>Kept (of yours today)</t>
  </si>
  <si>
    <t>Won from rivals</t>
  </si>
  <si>
    <t>Support cost per account</t>
  </si>
  <si>
    <t>Call</t>
  </si>
  <si>
    <t>Tier-2</t>
  </si>
  <si>
    <t>40000</t>
  </si>
  <si>
    <t>40,000</t>
  </si>
  <si>
    <t>37,571</t>
  </si>
  <si>
    <t>94%</t>
  </si>
  <si>
    <t>0</t>
  </si>
  <si>
    <t>$43,297.59M</t>
  </si>
  <si>
    <t>$4,546.32M</t>
  </si>
  <si>
    <t>$171</t>
  </si>
  <si>
    <t>Let go</t>
  </si>
  <si>
    <t>Profit is after the cost to serve that account.</t>
  </si>
  <si>
    <t>Quarter by quarter - best call (Match every cut)</t>
  </si>
  <si>
    <t>Your price, the rival's price, and what that earns.</t>
  </si>
  <si>
    <t>Quarter</t>
  </si>
  <si>
    <t>Your price</t>
  </si>
  <si>
    <t>Rival price</t>
  </si>
  <si>
    <t>Revenue</t>
  </si>
  <si>
    <t>Profit</t>
  </si>
  <si>
    <t>$94,000</t>
  </si>
  <si>
    <t>93.0%</t>
  </si>
  <si>
    <t>$6,286.36M</t>
  </si>
  <si>
    <t>$1,488.86M</t>
  </si>
  <si>
    <t>$88,360</t>
  </si>
  <si>
    <t>93.5%</t>
  </si>
  <si>
    <t>$5,944.09M</t>
  </si>
  <si>
    <t>$1,118.32M</t>
  </si>
  <si>
    <t>$84,180</t>
  </si>
  <si>
    <t>93.7%</t>
  </si>
  <si>
    <t>$5,673.78M</t>
  </si>
  <si>
    <t>$838.63M</t>
  </si>
  <si>
    <t>$82,090</t>
  </si>
  <si>
    <t>93.8%</t>
  </si>
  <si>
    <t>$5,540.55M</t>
  </si>
  <si>
    <t>$698.81M</t>
  </si>
  <si>
    <t>$81,045</t>
  </si>
  <si>
    <t>$5,470.68M</t>
  </si>
  <si>
    <t>$628.36M</t>
  </si>
  <si>
    <t>$80,522</t>
  </si>
  <si>
    <t>$5,436.92M</t>
  </si>
  <si>
    <t>$593.25M</t>
  </si>
  <si>
    <t>$80,261</t>
  </si>
  <si>
    <t>$5,420.18M</t>
  </si>
  <si>
    <t>$575.61M</t>
  </si>
  <si>
    <t>$80,131</t>
  </si>
  <si>
    <t>$5,412.20M</t>
  </si>
  <si>
    <t>$567.04M</t>
  </si>
  <si>
    <t>How far the rival's undercut can move before the answer changes</t>
  </si>
  <si>
    <t>A one-factor test: only the rival's undercut moves, 6 versions of the future at each point. The row for today's undercut is highlighted.</t>
  </si>
  <si>
    <t>Rival undercut</t>
  </si>
  <si>
    <t>Best call</t>
  </si>
  <si>
    <t>Still the recommendation?</t>
  </si>
  <si>
    <t>0%</t>
  </si>
  <si>
    <t>$15,291.24M</t>
  </si>
  <si>
    <t>$15,181.43M</t>
  </si>
  <si>
    <t>$15,285.55M</t>
  </si>
  <si>
    <t>Yes</t>
  </si>
  <si>
    <t>2%</t>
  </si>
  <si>
    <t>$12,900.71M</t>
  </si>
  <si>
    <t>$14,887.33M</t>
  </si>
  <si>
    <t>$14,093.87M</t>
  </si>
  <si>
    <t>No</t>
  </si>
  <si>
    <t>4%</t>
  </si>
  <si>
    <t>$10,619.58M</t>
  </si>
  <si>
    <t>$14,193.19M</t>
  </si>
  <si>
    <t>$11,820.43M</t>
  </si>
  <si>
    <t>6%</t>
  </si>
  <si>
    <t>$8,669.85M</t>
  </si>
  <si>
    <t>$12,715.47M</t>
  </si>
  <si>
    <t>$8,530.46M</t>
  </si>
  <si>
    <t>8%</t>
  </si>
  <si>
    <t>$7,564.62M</t>
  </si>
  <si>
    <t>$10,168.75M</t>
  </si>
  <si>
    <t>$5,295.14M</t>
  </si>
  <si>
    <t>10%</t>
  </si>
  <si>
    <t>$6,910.50M</t>
  </si>
  <si>
    <t>$6,006.81M</t>
  </si>
  <si>
    <t>$3,002.19M</t>
  </si>
  <si>
    <t>12%</t>
  </si>
  <si>
    <t>$6,509.10M</t>
  </si>
  <si>
    <t>$4,311.93M</t>
  </si>
  <si>
    <t>$1,675.72M</t>
  </si>
  <si>
    <t>14%</t>
  </si>
  <si>
    <t>$6,193.44M</t>
  </si>
  <si>
    <t>$3,406.11M</t>
  </si>
  <si>
    <t>$950.15M</t>
  </si>
  <si>
    <t>16%</t>
  </si>
  <si>
    <t>$6,059.94M</t>
  </si>
  <si>
    <t>$2,934.10M</t>
  </si>
  <si>
    <t>$546.97M</t>
  </si>
  <si>
    <t>18%</t>
  </si>
  <si>
    <t>$5,924.79M</t>
  </si>
  <si>
    <t>$2,516.33M</t>
  </si>
  <si>
    <t>$318.56M</t>
  </si>
  <si>
    <t>20%</t>
  </si>
  <si>
    <t>$5,790.02M</t>
  </si>
  <si>
    <t>$2,420.90M</t>
  </si>
  <si>
    <t>$184.24M</t>
  </si>
  <si>
    <t>22%</t>
  </si>
  <si>
    <t>$5,789.26M</t>
  </si>
  <si>
    <t>$2,420.62M</t>
  </si>
  <si>
    <t>$181.78M</t>
  </si>
  <si>
    <t>24%</t>
  </si>
  <si>
    <t>$5,786.25M</t>
  </si>
  <si>
    <t>$2,426.29M</t>
  </si>
  <si>
    <t>$181.93M</t>
  </si>
  <si>
    <t>26%</t>
  </si>
  <si>
    <t>$5,790.74M</t>
  </si>
  <si>
    <t>$2,427.02M</t>
  </si>
  <si>
    <t>$186.39M</t>
  </si>
  <si>
    <t>28%</t>
  </si>
  <si>
    <t>$5,792.22M</t>
  </si>
  <si>
    <t>$2,424.39M</t>
  </si>
  <si>
    <t>$184.31M</t>
  </si>
  <si>
    <t>30%</t>
  </si>
  <si>
    <t>$5,789.84M</t>
  </si>
  <si>
    <t>$2,421.24M</t>
  </si>
  <si>
    <t>$183.99M</t>
  </si>
  <si>
    <t>32%</t>
  </si>
  <si>
    <t>$5,789.27M</t>
  </si>
  <si>
    <t>$2,424.50M</t>
  </si>
  <si>
    <t>$183.29M</t>
  </si>
  <si>
    <t>34%</t>
  </si>
  <si>
    <t>$5,791.07M</t>
  </si>
  <si>
    <t>$2,422.45M</t>
  </si>
  <si>
    <t>$182.38M</t>
  </si>
  <si>
    <t>36%</t>
  </si>
  <si>
    <t>$5,788.19M</t>
  </si>
  <si>
    <t>$2,423.57M</t>
  </si>
  <si>
    <t>$184.18M</t>
  </si>
  <si>
    <t>38%</t>
  </si>
  <si>
    <t>$5,789.17M</t>
  </si>
  <si>
    <t>$2,421.00M</t>
  </si>
  <si>
    <t>$184.16M</t>
  </si>
  <si>
    <t>40%</t>
  </si>
  <si>
    <t>$5,786.34M</t>
  </si>
  <si>
    <t>$2,425.15M</t>
  </si>
  <si>
    <t>$182.48M</t>
  </si>
  <si>
    <t>Assumptions and caveats</t>
  </si>
  <si>
    <t>Watch</t>
  </si>
  <si>
    <t>!</t>
  </si>
  <si>
    <t>We could not see an obvious 'Us' in your supplier column, so we assumed 'Competitor A' is you.</t>
  </si>
  <si>
    <t>Assumed</t>
  </si>
  <si>
    <t>40,000 accounts from your file; each buyer keeps buying the same volume each quarter.</t>
  </si>
  <si>
    <t>List price $100,000 per unit; margin 28.3% on average, so cost is 71.7% of list.</t>
  </si>
  <si>
    <t>Rivals undercut your previous average price by 12.0% and close 50% of the gap each quarter, down to a floor of 20.0% off list.</t>
  </si>
  <si>
    <t>Buyers weigh price about ten times more heavily than habit; a 6.0% priority-support promise counts like a discount of half that size, and costs 1.5% of margin.</t>
  </si>
  <si>
    <t>40% of top-tier accounts are willing to commit multi-year (60% of that rate in the mid tier).</t>
  </si>
  <si>
    <t>Overheads of $5.00M a year are charged against profit.</t>
  </si>
  <si>
    <t>The recommendation maximises profit; change it and the answer may change with it.</t>
  </si>
  <si>
    <t>Robustness check: the rival's undercut alone moves, from 0% to 40% in 2-point steps, with 6 versions of the future at each point. Every other assumption is held where it is today.</t>
  </si>
  <si>
    <t>100 independent versions of 8 quarters per strategy; seed 42 (re-running gives identical numbers).</t>
  </si>
  <si>
    <t>Columns read from your file: Account / customer ID, Annual spend with you, Price sensitivity (0-1), Margin on the account (%), Annual cost to support them.</t>
  </si>
  <si>
    <t>Account / customer ID -&gt; your 'account_id' column</t>
  </si>
  <si>
    <t>Account tier / segment -&gt; not in your file; not used</t>
  </si>
  <si>
    <t>Annual spend with you -&gt; your 'annual_recurring_revenue' column</t>
  </si>
  <si>
    <t>Price sensitivity (0-1) -&gt; your 'submitted_list_price' column</t>
  </si>
  <si>
    <t>Who supplies them today -&gt; not in your file; not used</t>
  </si>
  <si>
    <t>Margin on the account (%) -&gt; your 'realised_gross_margin_pct' column</t>
  </si>
  <si>
    <t>Annual cost to support them -&gt; your 'rep_annual_quota_attainment_pct' column</t>
  </si>
  <si>
    <t>Time</t>
  </si>
  <si>
    <t>Phase</t>
  </si>
  <si>
    <t>What happened</t>
  </si>
  <si>
    <t>Technical detail</t>
  </si>
  <si>
    <t>0.00s</t>
  </si>
  <si>
    <t>prepare</t>
  </si>
  <si>
    <t>Opening your file…</t>
  </si>
  <si>
    <t>0.01s</t>
  </si>
  <si>
    <t>Found 40,000 rows and 20 columns.</t>
  </si>
  <si>
    <t>source: fx_uc4_bids.csv</t>
  </si>
  <si>
    <t>You chose 'account_id' for 'Account / customer ID'.</t>
  </si>
  <si>
    <t>We could not find a 'Account tier / segment' column. We left it out and will work without it.</t>
  </si>
  <si>
    <t>You chose 'annual_recurring_revenue' for 'Annual spend with you'.</t>
  </si>
  <si>
    <t>You chose 'submitted_list_price' for 'Price sensitivity (0-1)'.</t>
  </si>
  <si>
    <t>We could not find a 'Who supplies them today' column. We left it out and will work without it.</t>
  </si>
  <si>
    <t>You chose 'realised_gross_margin_pct' for 'Margin on the account (%)'.</t>
  </si>
  <si>
    <t>You chose 'rep_annual_quota_attainment_pct' for 'Annual cost to support them'.</t>
  </si>
  <si>
    <t>mapping used</t>
  </si>
  <si>
    <t>1.23s</t>
  </si>
  <si>
    <t>Read 40,000 records into the model.</t>
  </si>
  <si>
    <t>simulate</t>
  </si>
  <si>
    <t>Running the simulation…</t>
  </si>
  <si>
    <t>read</t>
  </si>
  <si>
    <t>Reading the account book...</t>
  </si>
  <si>
    <t>1.46s</t>
  </si>
  <si>
    <t>validate</t>
  </si>
  <si>
    <t>Built the market from 40,000 accounts from your file.</t>
  </si>
  <si>
    <t>40000 buyers, 1 tiers, $28,764.90M of annual spend</t>
  </si>
  <si>
    <t>Three suppliers are in the room: you, Competitor A and Competitor B.</t>
  </si>
  <si>
    <t>3.48s</t>
  </si>
  <si>
    <t>Running the war room... 10% of the worlds simulated</t>
  </si>
  <si>
    <t>5.74s</t>
  </si>
  <si>
    <t>Running the war room... 20% of the worlds simulated</t>
  </si>
  <si>
    <t>8.25s</t>
  </si>
  <si>
    <t>Running the war room... 30% of the worlds simulated</t>
  </si>
  <si>
    <t>9.09s</t>
  </si>
  <si>
    <t>Match every cut: 100 versions played out.</t>
  </si>
  <si>
    <t>average profit $6,508.88M over 8 quarters</t>
  </si>
  <si>
    <t>10.79s</t>
  </si>
  <si>
    <t>Running the war room... 40% of the worlds simulated</t>
  </si>
  <si>
    <t>13.37s</t>
  </si>
  <si>
    <t>Running the war room... 50% of the worlds simulated</t>
  </si>
  <si>
    <t>16.04s</t>
  </si>
  <si>
    <t>Running the war room... 60% of the worlds simulated</t>
  </si>
  <si>
    <t>17.82s</t>
  </si>
  <si>
    <t>Defensible niche: 100 versions played out.</t>
  </si>
  <si>
    <t>average profit $4,318.52M over 8 quarters</t>
  </si>
  <si>
    <t>18.49s</t>
  </si>
  <si>
    <t>Running the war room... 70% of the worlds simulated</t>
  </si>
  <si>
    <t>20.58s</t>
  </si>
  <si>
    <t>Running the war room... 80% of the worlds simulated</t>
  </si>
  <si>
    <t>22.71s</t>
  </si>
  <si>
    <t>Running the war room... 90% of the worlds simulated</t>
  </si>
  <si>
    <t>24.68s</t>
  </si>
  <si>
    <t>Running the war room... 100% of the worlds simulated</t>
  </si>
  <si>
    <t>24.75s</t>
  </si>
  <si>
    <t>24.79s</t>
  </si>
  <si>
    <t>Hold the line: 100 versions played out.</t>
  </si>
  <si>
    <t>average profit $1,675.29M over 8 quarters</t>
  </si>
  <si>
    <t>summarize</t>
  </si>
  <si>
    <t>Scoring the three strategies against each other...</t>
  </si>
  <si>
    <t>24.80s</t>
  </si>
  <si>
    <t>Testing how far the rival's undercut can move before the answer changes...</t>
  </si>
  <si>
    <t>51.12s</t>
  </si>
  <si>
    <t>Done. Match every cut scores best on profit: $6,508.88M over 8 quarters.</t>
  </si>
</sst>
</file>

<file path=xl/styles.xml><?xml version="1.0" encoding="utf-8"?>
<styleSheet xmlns="http://schemas.openxmlformats.org/spreadsheetml/2006/main">
  <numFmts count="1">
    <numFmt numFmtId="164" formatCode="#,##0"/>
  </numFmts>
  <fonts count="13">
    <font>
      <sz val="11"/>
      <color theme="1"/>
      <name val="Calibri"/>
      <family val="2"/>
      <scheme val="minor"/>
    </font>
    <font>
      <b/>
      <sz val="11"/>
      <color rgb="FF22C55E"/>
      <name val="Calibri"/>
      <family val="2"/>
      <scheme val="minor"/>
    </font>
    <font>
      <b/>
      <sz val="18"/>
      <color rgb="FF0F172A"/>
      <name val="Calibri"/>
      <family val="2"/>
      <scheme val="minor"/>
    </font>
    <font>
      <sz val="11"/>
      <color rgb="FF0F172A"/>
      <name val="Calibri"/>
      <family val="2"/>
      <scheme val="minor"/>
    </font>
    <font>
      <b/>
      <sz val="13"/>
      <color rgb="FF0F172A"/>
      <name val="Calibri"/>
      <family val="2"/>
      <scheme val="minor"/>
    </font>
    <font>
      <b/>
      <sz val="11"/>
      <color rgb="FF334155"/>
      <name val="Calibri"/>
      <family val="2"/>
      <scheme val="minor"/>
    </font>
    <font>
      <b/>
      <sz val="11"/>
      <color rgb="FFFFFFFF"/>
      <name val="Calibri"/>
      <family val="2"/>
      <scheme val="minor"/>
    </font>
    <font>
      <b/>
      <sz val="11"/>
      <color theme="1"/>
      <name val="Calibri"/>
      <family val="2"/>
      <scheme val="minor"/>
    </font>
    <font>
      <b/>
      <sz val="16"/>
      <color theme="1"/>
      <name val="Calibri"/>
      <family val="2"/>
      <scheme val="minor"/>
    </font>
    <font>
      <i/>
      <sz val="11"/>
      <color rgb="FF475569"/>
      <name val="Calibri"/>
      <family val="2"/>
      <scheme val="minor"/>
    </font>
    <font>
      <i/>
      <sz val="11"/>
      <color rgb="FF64748B"/>
      <name val="Calibri"/>
      <family val="2"/>
      <scheme val="minor"/>
    </font>
    <font>
      <sz val="11"/>
      <color rgb="FF78350F"/>
      <name val="Calibri"/>
      <family val="2"/>
      <scheme val="minor"/>
    </font>
    <font>
      <sz val="11"/>
      <color rgb="FF475569"/>
      <name val="Calibri"/>
      <family val="2"/>
      <scheme val="minor"/>
    </font>
  </fonts>
  <fills count="7">
    <fill>
      <patternFill patternType="none"/>
    </fill>
    <fill>
      <patternFill patternType="gray125"/>
    </fill>
    <fill>
      <patternFill patternType="solid">
        <fgColor rgb="FF0F172A"/>
        <bgColor indexed="64"/>
      </patternFill>
    </fill>
    <fill>
      <patternFill patternType="solid">
        <fgColor rgb="FFDCFCE7"/>
        <bgColor indexed="64"/>
      </patternFill>
    </fill>
    <fill>
      <patternFill patternType="solid">
        <fgColor rgb="FFFEF3C7"/>
        <bgColor indexed="64"/>
      </patternFill>
    </fill>
    <fill>
      <patternFill patternType="solid">
        <fgColor rgb="FFFEE2E2"/>
        <bgColor indexed="64"/>
      </patternFill>
    </fill>
    <fill>
      <patternFill patternType="solid">
        <fgColor rgb="FFEFF6FF"/>
        <bgColor indexed="64"/>
      </patternFill>
    </fill>
  </fills>
  <borders count="5">
    <border>
      <left/>
      <right/>
      <top/>
      <bottom/>
      <diagonal/>
    </border>
    <border>
      <left/>
      <right/>
      <top/>
      <bottom style="thin">
        <color rgb="FFCBD5E1"/>
      </bottom>
      <diagonal/>
    </border>
    <border>
      <left style="thin">
        <color rgb="FFE2E8F0"/>
      </left>
      <right style="thin">
        <color rgb="FFE2E8F0"/>
      </right>
      <top style="thin">
        <color rgb="FFE2E8F0"/>
      </top>
      <bottom style="thin">
        <color rgb="FFE2E8F0"/>
      </bottom>
      <diagonal/>
    </border>
    <border>
      <left style="thin">
        <color rgb="FF334155"/>
      </left>
      <right style="thin">
        <color rgb="FF334155"/>
      </right>
      <top style="thin">
        <color rgb="FF334155"/>
      </top>
      <bottom style="thin">
        <color rgb="FF334155"/>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24">
    <xf numFmtId="0" fontId="0" fillId="0" borderId="0" xfId="0"/>
    <xf numFmtId="0" fontId="1" fillId="0" borderId="0" xfId="0" applyFont="1" applyAlignment="1">
      <alignment vertical="center"/>
    </xf>
    <xf numFmtId="0" fontId="2" fillId="0" borderId="0" xfId="0" applyFont="1"/>
    <xf numFmtId="0" fontId="3" fillId="0" borderId="0" xfId="0" applyFont="1" applyAlignment="1">
      <alignment vertical="top" wrapText="1"/>
    </xf>
    <xf numFmtId="0" fontId="4" fillId="0" borderId="1" xfId="0" applyFont="1" applyBorder="1"/>
    <xf numFmtId="0" fontId="0" fillId="0" borderId="0" xfId="0" applyAlignment="1">
      <alignment vertical="top" wrapText="1"/>
    </xf>
    <xf numFmtId="0" fontId="5" fillId="0" borderId="0" xfId="0" applyFont="1" applyAlignment="1">
      <alignment vertical="top"/>
    </xf>
    <xf numFmtId="164" fontId="0" fillId="0" borderId="2" xfId="0" applyNumberFormat="1" applyBorder="1"/>
    <xf numFmtId="0" fontId="6" fillId="2" borderId="3" xfId="0" applyFont="1" applyFill="1" applyBorder="1" applyAlignment="1">
      <alignment vertical="center" wrapText="1"/>
    </xf>
    <xf numFmtId="0" fontId="0" fillId="3" borderId="2" xfId="0" applyFill="1" applyBorder="1" applyAlignment="1">
      <alignment vertical="top" wrapText="1"/>
    </xf>
    <xf numFmtId="0" fontId="7" fillId="3" borderId="2" xfId="0" applyFont="1" applyFill="1" applyBorder="1" applyAlignment="1">
      <alignment vertical="top"/>
    </xf>
    <xf numFmtId="0" fontId="0" fillId="4" borderId="2" xfId="0" applyFill="1" applyBorder="1" applyAlignment="1">
      <alignment vertical="top" wrapText="1"/>
    </xf>
    <xf numFmtId="0" fontId="7" fillId="4" borderId="2" xfId="0" applyFont="1" applyFill="1" applyBorder="1" applyAlignment="1">
      <alignment vertical="top"/>
    </xf>
    <xf numFmtId="0" fontId="0" fillId="5" borderId="2" xfId="0" applyFill="1" applyBorder="1" applyAlignment="1">
      <alignment vertical="top" wrapText="1"/>
    </xf>
    <xf numFmtId="0" fontId="7" fillId="5" borderId="2" xfId="0" applyFont="1" applyFill="1" applyBorder="1" applyAlignment="1">
      <alignment vertical="top"/>
    </xf>
    <xf numFmtId="0" fontId="0" fillId="6" borderId="2" xfId="0" applyFill="1" applyBorder="1" applyAlignment="1">
      <alignment vertical="top" wrapText="1"/>
    </xf>
    <xf numFmtId="0" fontId="7" fillId="6" borderId="2" xfId="0" applyFont="1" applyFill="1" applyBorder="1" applyAlignment="1">
      <alignment vertical="top"/>
    </xf>
    <xf numFmtId="0" fontId="0" fillId="0" borderId="2" xfId="0" applyBorder="1" applyAlignment="1">
      <alignment vertical="top"/>
    </xf>
    <xf numFmtId="0" fontId="8" fillId="0" borderId="0" xfId="0" applyFont="1"/>
    <xf numFmtId="0" fontId="9" fillId="0" borderId="0" xfId="0" applyFont="1" applyAlignment="1">
      <alignment wrapText="1"/>
    </xf>
    <xf numFmtId="0" fontId="10" fillId="0" borderId="0" xfId="0" applyFont="1"/>
    <xf numFmtId="0" fontId="0" fillId="0" borderId="2" xfId="0" applyBorder="1" applyAlignment="1">
      <alignment vertical="top" wrapText="1"/>
    </xf>
    <xf numFmtId="0" fontId="11" fillId="4" borderId="4" xfId="0" applyFont="1" applyFill="1" applyBorder="1" applyAlignment="1">
      <alignment vertical="top" wrapText="1"/>
    </xf>
    <xf numFmtId="0" fontId="12" fillId="0" borderId="2" xfId="0" applyFont="1" applyBorder="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happens to your price</a:t>
            </a:r>
          </a:p>
        </c:rich>
      </c:tx>
      <c:layout/>
    </c:title>
    <c:plotArea>
      <c:layout/>
      <c:lineChart>
        <c:grouping val="standard"/>
        <c:ser>
          <c:idx val="0"/>
          <c:order val="0"/>
          <c:tx>
            <c:strRef>
              <c:f>'Chart data'!$B$1</c:f>
              <c:strCache>
                <c:ptCount val="1"/>
                <c:pt idx="0">
                  <c:v>Match every cut</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data'!$B$2:$B$9</c:f>
              <c:numCache>
                <c:formatCode>General</c:formatCode>
                <c:ptCount val="8"/>
                <c:pt idx="0">
                  <c:v>94</c:v>
                </c:pt>
                <c:pt idx="1">
                  <c:v>88.36</c:v>
                </c:pt>
                <c:pt idx="2">
                  <c:v>84.18000000000001</c:v>
                </c:pt>
                <c:pt idx="3">
                  <c:v>82.09</c:v>
                </c:pt>
                <c:pt idx="4">
                  <c:v>81.05</c:v>
                </c:pt>
                <c:pt idx="5">
                  <c:v>80.52</c:v>
                </c:pt>
                <c:pt idx="6">
                  <c:v>80.26000000000001</c:v>
                </c:pt>
                <c:pt idx="7">
                  <c:v>80.13</c:v>
                </c:pt>
              </c:numCache>
            </c:numRef>
          </c:val>
        </c:ser>
        <c:ser>
          <c:idx val="1"/>
          <c:order val="1"/>
          <c:tx>
            <c:strRef>
              <c:f>'Chart data'!$C$1</c:f>
              <c:strCache>
                <c:ptCount val="1"/>
                <c:pt idx="0">
                  <c:v>Defensible niche</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data'!$C$2:$C$9</c:f>
              <c:numCache>
                <c:formatCode>General</c:formatCode>
                <c:ptCount val="8"/>
                <c:pt idx="0">
                  <c:v>100</c:v>
                </c:pt>
                <c:pt idx="1">
                  <c:v>100</c:v>
                </c:pt>
                <c:pt idx="2">
                  <c:v>93.08</c:v>
                </c:pt>
                <c:pt idx="3">
                  <c:v>87.3</c:v>
                </c:pt>
                <c:pt idx="4">
                  <c:v>83.5</c:v>
                </c:pt>
                <c:pt idx="5">
                  <c:v>81.83</c:v>
                </c:pt>
                <c:pt idx="6">
                  <c:v>81.03</c:v>
                </c:pt>
                <c:pt idx="7">
                  <c:v>80.63</c:v>
                </c:pt>
              </c:numCache>
            </c:numRef>
          </c:val>
        </c:ser>
        <c:ser>
          <c:idx val="2"/>
          <c:order val="2"/>
          <c:tx>
            <c:strRef>
              <c:f>'Chart data'!$D$1</c:f>
              <c:strCache>
                <c:ptCount val="1"/>
                <c:pt idx="0">
                  <c:v>Hold the line</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data'!$D$2:$D$9</c:f>
              <c:numCache>
                <c:formatCode>General</c:formatCode>
                <c:ptCount val="8"/>
                <c:pt idx="0">
                  <c:v>100</c:v>
                </c:pt>
                <c:pt idx="1">
                  <c:v>100</c:v>
                </c:pt>
                <c:pt idx="2">
                  <c:v>100</c:v>
                </c:pt>
                <c:pt idx="3">
                  <c:v>100</c:v>
                </c:pt>
                <c:pt idx="4">
                  <c:v>100</c:v>
                </c:pt>
                <c:pt idx="5">
                  <c:v>100</c:v>
                </c:pt>
                <c:pt idx="6">
                  <c:v>100</c:v>
                </c:pt>
                <c:pt idx="7">
                  <c:v>100</c:v>
                </c:pt>
              </c:numCache>
            </c:numRef>
          </c:val>
        </c:ser>
        <c:ser>
          <c:idx val="3"/>
          <c:order val="3"/>
          <c:tx>
            <c:strRef>
              <c:f>'Chart data'!$E$1</c:f>
              <c:strCache>
                <c:ptCount val="1"/>
                <c:pt idx="0">
                  <c:v>Best call - likely low</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data'!$E$2:$E$9</c:f>
              <c:numCache>
                <c:formatCode>General</c:formatCode>
                <c:ptCount val="8"/>
                <c:pt idx="0">
                  <c:v>94</c:v>
                </c:pt>
                <c:pt idx="1">
                  <c:v>88.36</c:v>
                </c:pt>
                <c:pt idx="2">
                  <c:v>84.18000000000001</c:v>
                </c:pt>
                <c:pt idx="3">
                  <c:v>82.09</c:v>
                </c:pt>
                <c:pt idx="4">
                  <c:v>81.04000000000001</c:v>
                </c:pt>
                <c:pt idx="5">
                  <c:v>80.52</c:v>
                </c:pt>
                <c:pt idx="6">
                  <c:v>80.26000000000001</c:v>
                </c:pt>
                <c:pt idx="7">
                  <c:v>80.13</c:v>
                </c:pt>
              </c:numCache>
            </c:numRef>
          </c:val>
        </c:ser>
        <c:ser>
          <c:idx val="4"/>
          <c:order val="4"/>
          <c:tx>
            <c:strRef>
              <c:f>'Chart data'!$F$1</c:f>
              <c:strCache>
                <c:ptCount val="1"/>
                <c:pt idx="0">
                  <c:v>Best call - likely high</c:v>
                </c:pt>
              </c:strCache>
            </c:strRef>
          </c:tx>
          <c:marker>
            <c:symbol val="none"/>
          </c:marker>
          <c:cat>
            <c:strRef>
              <c:f>'Chart data'!$A$2:$A$9</c:f>
              <c:strCache>
                <c:ptCount val="8"/>
                <c:pt idx="0">
                  <c:v>Q1</c:v>
                </c:pt>
                <c:pt idx="1">
                  <c:v>Q2</c:v>
                </c:pt>
                <c:pt idx="2">
                  <c:v>Q3</c:v>
                </c:pt>
                <c:pt idx="3">
                  <c:v>Q4</c:v>
                </c:pt>
                <c:pt idx="4">
                  <c:v>Q5</c:v>
                </c:pt>
                <c:pt idx="5">
                  <c:v>Q6</c:v>
                </c:pt>
                <c:pt idx="6">
                  <c:v>Q7</c:v>
                </c:pt>
                <c:pt idx="7">
                  <c:v>Q8</c:v>
                </c:pt>
              </c:strCache>
            </c:strRef>
          </c:cat>
          <c:val>
            <c:numRef>
              <c:f>'Chart data'!$F$2:$F$9</c:f>
              <c:numCache>
                <c:formatCode>General</c:formatCode>
                <c:ptCount val="8"/>
                <c:pt idx="0">
                  <c:v>94</c:v>
                </c:pt>
                <c:pt idx="1">
                  <c:v>88.36</c:v>
                </c:pt>
                <c:pt idx="2">
                  <c:v>84.18000000000001</c:v>
                </c:pt>
                <c:pt idx="3">
                  <c:v>82.09</c:v>
                </c:pt>
                <c:pt idx="4">
                  <c:v>81.05</c:v>
                </c:pt>
                <c:pt idx="5">
                  <c:v>80.52</c:v>
                </c:pt>
                <c:pt idx="6">
                  <c:v>80.26000000000001</c:v>
                </c:pt>
                <c:pt idx="7">
                  <c:v>80.13</c:v>
                </c:pt>
              </c:numCache>
            </c:numRef>
          </c:val>
        </c:ser>
        <c:marker val="1"/>
        <c:axId val="50010001"/>
        <c:axId val="50010002"/>
      </c:lineChart>
      <c:catAx>
        <c:axId val="50010001"/>
        <c:scaling>
          <c:orientation val="minMax"/>
        </c:scaling>
        <c:axPos val="b"/>
        <c:title>
          <c:tx>
            <c:rich>
              <a:bodyPr/>
              <a:lstStyle/>
              <a:p>
                <a:pPr>
                  <a:defRPr/>
                </a:pPr>
                <a:r>
                  <a:rPr lang="en-US"/>
                  <a:t>Quarter</a:t>
                </a:r>
              </a:p>
            </c:rich>
          </c:tx>
          <c:layout/>
        </c:title>
        <c:tickLblPos val="nextTo"/>
        <c:crossAx val="50010002"/>
        <c:crosses val="autoZero"/>
        <c:auto val="1"/>
        <c:lblAlgn val="ctr"/>
        <c:lblOffset val="100"/>
      </c:catAx>
      <c:valAx>
        <c:axId val="50010002"/>
        <c:scaling>
          <c:orientation val="minMax"/>
        </c:scaling>
        <c:axPos val="l"/>
        <c:majorGridlines/>
        <c:title>
          <c:tx>
            <c:rich>
              <a:bodyPr rot="-5400000" vert="horz"/>
              <a:lstStyle/>
              <a:p>
                <a:pPr>
                  <a:defRPr/>
                </a:pPr>
                <a:r>
                  <a:rPr lang="en-US"/>
                  <a:t>Average price you charge</a:t>
                </a:r>
              </a:p>
            </c:rich>
          </c:tx>
          <c:layout/>
        </c:title>
        <c:numFmt formatCode="General" sourceLinked="1"/>
        <c:tickLblPos val="nextTo"/>
        <c:crossAx val="5001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What happens to profit</a:t>
            </a:r>
          </a:p>
        </c:rich>
      </c:tx>
      <c:layout/>
    </c:title>
    <c:plotArea>
      <c:layout/>
      <c:lineChart>
        <c:grouping val="standard"/>
        <c:ser>
          <c:idx val="0"/>
          <c:order val="0"/>
          <c:tx>
            <c:strRef>
              <c:f>'Chart data'!$I$1</c:f>
              <c:strCache>
                <c:ptCount val="1"/>
                <c:pt idx="0">
                  <c:v>Match every cut</c:v>
                </c:pt>
              </c:strCache>
            </c:strRef>
          </c:tx>
          <c:marker>
            <c:symbol val="none"/>
          </c:marker>
          <c:cat>
            <c:strRef>
              <c:f>'Chart data'!$H$2:$H$9</c:f>
              <c:strCache>
                <c:ptCount val="8"/>
                <c:pt idx="0">
                  <c:v>Q1</c:v>
                </c:pt>
                <c:pt idx="1">
                  <c:v>Q2</c:v>
                </c:pt>
                <c:pt idx="2">
                  <c:v>Q3</c:v>
                </c:pt>
                <c:pt idx="3">
                  <c:v>Q4</c:v>
                </c:pt>
                <c:pt idx="4">
                  <c:v>Q5</c:v>
                </c:pt>
                <c:pt idx="5">
                  <c:v>Q6</c:v>
                </c:pt>
                <c:pt idx="6">
                  <c:v>Q7</c:v>
                </c:pt>
                <c:pt idx="7">
                  <c:v>Q8</c:v>
                </c:pt>
              </c:strCache>
            </c:strRef>
          </c:cat>
          <c:val>
            <c:numRef>
              <c:f>'Chart data'!$I$2:$I$9</c:f>
              <c:numCache>
                <c:formatCode>General</c:formatCode>
                <c:ptCount val="8"/>
                <c:pt idx="0">
                  <c:v>1488.86</c:v>
                </c:pt>
                <c:pt idx="1">
                  <c:v>1118.32</c:v>
                </c:pt>
                <c:pt idx="2">
                  <c:v>838.63</c:v>
                </c:pt>
                <c:pt idx="3">
                  <c:v>698.8099999999999</c:v>
                </c:pt>
                <c:pt idx="4">
                  <c:v>628.36</c:v>
                </c:pt>
                <c:pt idx="5">
                  <c:v>593.25</c:v>
                </c:pt>
                <c:pt idx="6">
                  <c:v>575.61</c:v>
                </c:pt>
                <c:pt idx="7">
                  <c:v>567.04</c:v>
                </c:pt>
              </c:numCache>
            </c:numRef>
          </c:val>
        </c:ser>
        <c:ser>
          <c:idx val="1"/>
          <c:order val="1"/>
          <c:tx>
            <c:strRef>
              <c:f>'Chart data'!$J$1</c:f>
              <c:strCache>
                <c:ptCount val="1"/>
                <c:pt idx="0">
                  <c:v>Defensible niche</c:v>
                </c:pt>
              </c:strCache>
            </c:strRef>
          </c:tx>
          <c:marker>
            <c:symbol val="none"/>
          </c:marker>
          <c:cat>
            <c:strRef>
              <c:f>'Chart data'!$H$2:$H$9</c:f>
              <c:strCache>
                <c:ptCount val="8"/>
                <c:pt idx="0">
                  <c:v>Q1</c:v>
                </c:pt>
                <c:pt idx="1">
                  <c:v>Q2</c:v>
                </c:pt>
                <c:pt idx="2">
                  <c:v>Q3</c:v>
                </c:pt>
                <c:pt idx="3">
                  <c:v>Q4</c:v>
                </c:pt>
                <c:pt idx="4">
                  <c:v>Q5</c:v>
                </c:pt>
                <c:pt idx="5">
                  <c:v>Q6</c:v>
                </c:pt>
                <c:pt idx="6">
                  <c:v>Q7</c:v>
                </c:pt>
                <c:pt idx="7">
                  <c:v>Q8</c:v>
                </c:pt>
              </c:strCache>
            </c:strRef>
          </c:cat>
          <c:val>
            <c:numRef>
              <c:f>'Chart data'!$J$2:$J$9</c:f>
              <c:numCache>
                <c:formatCode>General</c:formatCode>
                <c:ptCount val="8"/>
                <c:pt idx="0">
                  <c:v>1437.47</c:v>
                </c:pt>
                <c:pt idx="1">
                  <c:v>810.4299999999999</c:v>
                </c:pt>
                <c:pt idx="2">
                  <c:v>766.62</c:v>
                </c:pt>
                <c:pt idx="3">
                  <c:v>399.86</c:v>
                </c:pt>
                <c:pt idx="4">
                  <c:v>272.24</c:v>
                </c:pt>
                <c:pt idx="5">
                  <c:v>227.02</c:v>
                </c:pt>
                <c:pt idx="6">
                  <c:v>207.19</c:v>
                </c:pt>
                <c:pt idx="7">
                  <c:v>197.69</c:v>
                </c:pt>
              </c:numCache>
            </c:numRef>
          </c:val>
        </c:ser>
        <c:ser>
          <c:idx val="2"/>
          <c:order val="2"/>
          <c:tx>
            <c:strRef>
              <c:f>'Chart data'!$K$1</c:f>
              <c:strCache>
                <c:ptCount val="1"/>
                <c:pt idx="0">
                  <c:v>Hold the line</c:v>
                </c:pt>
              </c:strCache>
            </c:strRef>
          </c:tx>
          <c:marker>
            <c:symbol val="none"/>
          </c:marker>
          <c:cat>
            <c:strRef>
              <c:f>'Chart data'!$H$2:$H$9</c:f>
              <c:strCache>
                <c:ptCount val="8"/>
                <c:pt idx="0">
                  <c:v>Q1</c:v>
                </c:pt>
                <c:pt idx="1">
                  <c:v>Q2</c:v>
                </c:pt>
                <c:pt idx="2">
                  <c:v>Q3</c:v>
                </c:pt>
                <c:pt idx="3">
                  <c:v>Q4</c:v>
                </c:pt>
                <c:pt idx="4">
                  <c:v>Q5</c:v>
                </c:pt>
                <c:pt idx="5">
                  <c:v>Q6</c:v>
                </c:pt>
                <c:pt idx="6">
                  <c:v>Q7</c:v>
                </c:pt>
                <c:pt idx="7">
                  <c:v>Q8</c:v>
                </c:pt>
              </c:strCache>
            </c:strRef>
          </c:cat>
          <c:val>
            <c:numRef>
              <c:f>'Chart data'!$K$2:$K$9</c:f>
              <c:numCache>
                <c:formatCode>General</c:formatCode>
                <c:ptCount val="8"/>
                <c:pt idx="0">
                  <c:v>806.63</c:v>
                </c:pt>
                <c:pt idx="1">
                  <c:v>283</c:v>
                </c:pt>
                <c:pt idx="2">
                  <c:v>150.07</c:v>
                </c:pt>
                <c:pt idx="3">
                  <c:v>106.8</c:v>
                </c:pt>
                <c:pt idx="4">
                  <c:v>89.86</c:v>
                </c:pt>
                <c:pt idx="5">
                  <c:v>82.51000000000001</c:v>
                </c:pt>
                <c:pt idx="6">
                  <c:v>79.19</c:v>
                </c:pt>
                <c:pt idx="7">
                  <c:v>77.23</c:v>
                </c:pt>
              </c:numCache>
            </c:numRef>
          </c:val>
        </c:ser>
        <c:marker val="1"/>
        <c:axId val="50020001"/>
        <c:axId val="50020002"/>
      </c:lineChart>
      <c:catAx>
        <c:axId val="50020001"/>
        <c:scaling>
          <c:orientation val="minMax"/>
        </c:scaling>
        <c:axPos val="b"/>
        <c:title>
          <c:tx>
            <c:rich>
              <a:bodyPr/>
              <a:lstStyle/>
              <a:p>
                <a:pPr>
                  <a:defRPr/>
                </a:pPr>
                <a:r>
                  <a:rPr lang="en-US"/>
                  <a:t>Quarter</a:t>
                </a:r>
              </a:p>
            </c:rich>
          </c:tx>
          <c:layout/>
        </c:title>
        <c:tickLblPos val="nextTo"/>
        <c:crossAx val="50020002"/>
        <c:crosses val="autoZero"/>
        <c:auto val="1"/>
        <c:lblAlgn val="ctr"/>
        <c:lblOffset val="100"/>
      </c:catAx>
      <c:valAx>
        <c:axId val="50020002"/>
        <c:scaling>
          <c:orientation val="minMax"/>
        </c:scaling>
        <c:axPos val="l"/>
        <c:majorGridlines/>
        <c:title>
          <c:tx>
            <c:rich>
              <a:bodyPr rot="-5400000" vert="horz"/>
              <a:lstStyle/>
              <a:p>
                <a:pPr>
                  <a:defRPr/>
                </a:pPr>
                <a:r>
                  <a:rPr lang="en-US"/>
                  <a:t>Profit per quarter</a:t>
                </a:r>
              </a:p>
            </c:rich>
          </c:tx>
          <c:layout/>
        </c:title>
        <c:numFmt formatCode="General" sourceLinked="1"/>
        <c:tickLblPos val="nextTo"/>
        <c:crossAx val="5002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The scoreboard</a:t>
            </a:r>
          </a:p>
        </c:rich>
      </c:tx>
      <c:layout/>
    </c:title>
    <c:plotArea>
      <c:layout/>
      <c:barChart>
        <c:barDir val="col"/>
        <c:grouping val="clustered"/>
        <c:ser>
          <c:idx val="0"/>
          <c:order val="0"/>
          <c:tx>
            <c:strRef>
              <c:f>'Chart data'!$N$1</c:f>
              <c:strCache>
                <c:ptCount val="1"/>
                <c:pt idx="0">
                  <c:v>Match every cut</c:v>
                </c:pt>
              </c:strCache>
            </c:strRef>
          </c:tx>
          <c:cat>
            <c:strRef>
              <c:f>'Chart data'!$M$2:$M$5</c:f>
              <c:strCache>
                <c:ptCount val="4"/>
                <c:pt idx="0">
                  <c:v>Price vs today</c:v>
                </c:pt>
                <c:pt idx="1">
                  <c:v>Top accounts kept</c:v>
                </c:pt>
                <c:pt idx="2">
                  <c:v>Profit over 2 years</c:v>
                </c:pt>
                <c:pt idx="3">
                  <c:v>Accounts served</c:v>
                </c:pt>
              </c:strCache>
            </c:strRef>
          </c:cat>
          <c:val>
            <c:numRef>
              <c:f>'Chart data'!$N$2:$N$5</c:f>
              <c:numCache>
                <c:formatCode>General</c:formatCode>
                <c:ptCount val="4"/>
                <c:pt idx="0">
                  <c:v>-19.87</c:v>
                </c:pt>
                <c:pt idx="1">
                  <c:v>93.93000000000001</c:v>
                </c:pt>
                <c:pt idx="2">
                  <c:v>6508.88</c:v>
                </c:pt>
                <c:pt idx="3">
                  <c:v>93.93000000000001</c:v>
                </c:pt>
              </c:numCache>
            </c:numRef>
          </c:val>
        </c:ser>
        <c:ser>
          <c:idx val="1"/>
          <c:order val="1"/>
          <c:tx>
            <c:strRef>
              <c:f>'Chart data'!$O$1</c:f>
              <c:strCache>
                <c:ptCount val="1"/>
                <c:pt idx="0">
                  <c:v>Defensible niche</c:v>
                </c:pt>
              </c:strCache>
            </c:strRef>
          </c:tx>
          <c:cat>
            <c:strRef>
              <c:f>'Chart data'!$M$2:$M$5</c:f>
              <c:strCache>
                <c:ptCount val="4"/>
                <c:pt idx="0">
                  <c:v>Price vs today</c:v>
                </c:pt>
                <c:pt idx="1">
                  <c:v>Top accounts kept</c:v>
                </c:pt>
                <c:pt idx="2">
                  <c:v>Profit over 2 years</c:v>
                </c:pt>
                <c:pt idx="3">
                  <c:v>Accounts served</c:v>
                </c:pt>
              </c:strCache>
            </c:strRef>
          </c:cat>
          <c:val>
            <c:numRef>
              <c:f>'Chart data'!$O$2:$O$5</c:f>
              <c:numCache>
                <c:formatCode>General</c:formatCode>
                <c:ptCount val="4"/>
                <c:pt idx="0">
                  <c:v>-19.37</c:v>
                </c:pt>
                <c:pt idx="1">
                  <c:v>20.62</c:v>
                </c:pt>
                <c:pt idx="2">
                  <c:v>4318.52</c:v>
                </c:pt>
                <c:pt idx="3">
                  <c:v>20.62</c:v>
                </c:pt>
              </c:numCache>
            </c:numRef>
          </c:val>
        </c:ser>
        <c:ser>
          <c:idx val="2"/>
          <c:order val="2"/>
          <c:tx>
            <c:strRef>
              <c:f>'Chart data'!$P$1</c:f>
              <c:strCache>
                <c:ptCount val="1"/>
                <c:pt idx="0">
                  <c:v>Hold the line</c:v>
                </c:pt>
              </c:strCache>
            </c:strRef>
          </c:tx>
          <c:cat>
            <c:strRef>
              <c:f>'Chart data'!$M$2:$M$5</c:f>
              <c:strCache>
                <c:ptCount val="4"/>
                <c:pt idx="0">
                  <c:v>Price vs today</c:v>
                </c:pt>
                <c:pt idx="1">
                  <c:v>Top accounts kept</c:v>
                </c:pt>
                <c:pt idx="2">
                  <c:v>Profit over 2 years</c:v>
                </c:pt>
                <c:pt idx="3">
                  <c:v>Accounts served</c:v>
                </c:pt>
              </c:strCache>
            </c:strRef>
          </c:cat>
          <c:val>
            <c:numRef>
              <c:f>'Chart data'!$P$2:$P$5</c:f>
              <c:numCache>
                <c:formatCode>General</c:formatCode>
                <c:ptCount val="4"/>
                <c:pt idx="0">
                  <c:v>0</c:v>
                </c:pt>
                <c:pt idx="1">
                  <c:v>3.85</c:v>
                </c:pt>
                <c:pt idx="2">
                  <c:v>1675.29</c:v>
                </c:pt>
                <c:pt idx="3">
                  <c:v>3.85</c:v>
                </c:pt>
              </c:numCache>
            </c:numRef>
          </c:val>
        </c:ser>
        <c:axId val="50030001"/>
        <c:axId val="50030002"/>
      </c:barChart>
      <c:catAx>
        <c:axId val="50030001"/>
        <c:scaling>
          <c:orientation val="minMax"/>
        </c:scaling>
        <c:axPos val="b"/>
        <c:tickLblPos val="nextTo"/>
        <c:crossAx val="50030002"/>
        <c:crosses val="autoZero"/>
        <c:auto val="1"/>
        <c:lblAlgn val="ctr"/>
        <c:lblOffset val="100"/>
      </c:catAx>
      <c:valAx>
        <c:axId val="50030002"/>
        <c:scaling>
          <c:orientation val="minMax"/>
        </c:scaling>
        <c:axPos val="l"/>
        <c:majorGridlines/>
        <c:numFmt formatCode="General" sourceLinked="1"/>
        <c:tickLblPos val="nextTo"/>
        <c:crossAx val="50030001"/>
        <c:crosses val="autoZero"/>
        <c:crossBetween val="between"/>
      </c:valAx>
    </c:plotArea>
    <c:legend>
      <c:legendPos val="b"/>
      <c:layout/>
    </c:legend>
    <c:plotVisOnly val="1"/>
  </c:chart>
  <c:spPr>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268224</xdr:colOff>
      <xdr:row>0</xdr:row>
      <xdr:rowOff>268224</xdr:rowOff>
    </xdr:to>
    <xdr:pic>
      <xdr:nvPicPr>
        <xdr:cNvPr id="2" name="Picture 1" descr="brand_mark.png"/>
        <xdr:cNvPicPr>
          <a:picLocks noChangeAspect="1"/>
        </xdr:cNvPicPr>
      </xdr:nvPicPr>
      <xdr:blipFill>
        <a:blip xmlns:r="http://schemas.openxmlformats.org/officeDocument/2006/relationships" r:embed="rId1"/>
        <a:stretch>
          <a:fillRect/>
        </a:stretch>
      </xdr:blipFill>
      <xdr:spPr>
        <a:xfrm>
          <a:off x="0" y="0"/>
          <a:ext cx="268224" cy="2682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4</xdr:row>
      <xdr:rowOff>0</xdr:rowOff>
    </xdr:from>
    <xdr:to>
      <xdr:col>12</xdr:col>
      <xdr:colOff>152400</xdr:colOff>
      <xdr:row>23</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26</xdr:row>
      <xdr:rowOff>0</xdr:rowOff>
    </xdr:from>
    <xdr:to>
      <xdr:col>12</xdr:col>
      <xdr:colOff>152400</xdr:colOff>
      <xdr:row>45</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48</xdr:row>
      <xdr:rowOff>0</xdr:rowOff>
    </xdr:from>
    <xdr:to>
      <xdr:col>12</xdr:col>
      <xdr:colOff>152400</xdr:colOff>
      <xdr:row>67</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D24"/>
  <sheetViews>
    <sheetView showGridLines="0" tabSelected="1" workbookViewId="0">
      <pane ySplit="1" topLeftCell="A2" activePane="bottomLeft" state="frozen"/>
      <selection pane="bottomLeft"/>
    </sheetView>
  </sheetViews>
  <sheetFormatPr defaultRowHeight="15"/>
  <cols>
    <col min="1" max="1" width="30.7109375" customWidth="1"/>
    <col min="2" max="2" width="26.7109375" customWidth="1"/>
    <col min="3" max="3" width="62.7109375" customWidth="1"/>
    <col min="4" max="4" width="26.7109375" customWidth="1"/>
  </cols>
  <sheetData>
    <row r="1" spans="1:4" ht="30" customHeight="1">
      <c r="B1" s="1" t="s">
        <v>0</v>
      </c>
    </row>
    <row r="2" spans="1:4">
      <c r="A2" s="2" t="s">
        <v>1</v>
      </c>
    </row>
    <row r="3" spans="1:4" ht="34" customHeight="1">
      <c r="A3" s="3" t="s">
        <v>2</v>
      </c>
    </row>
    <row r="5" spans="1:4">
      <c r="A5" s="4" t="s">
        <v>3</v>
      </c>
    </row>
    <row r="6" spans="1:4" ht="60" customHeight="1">
      <c r="A6" s="5" t="s">
        <v>4</v>
      </c>
      <c r="B6" s="5"/>
      <c r="C6" s="5"/>
      <c r="D6" s="5"/>
    </row>
    <row r="8" spans="1:4">
      <c r="A8" s="6" t="s">
        <v>5</v>
      </c>
      <c r="B8" s="7">
        <v>42</v>
      </c>
    </row>
    <row r="9" spans="1:4">
      <c r="A9" s="6" t="s">
        <v>6</v>
      </c>
      <c r="B9" s="3" t="s">
        <v>7</v>
      </c>
    </row>
    <row r="10" spans="1:4">
      <c r="A10" s="6" t="s">
        <v>8</v>
      </c>
      <c r="B10" s="3" t="s">
        <v>9</v>
      </c>
    </row>
    <row r="11" spans="1:4">
      <c r="A11" s="6" t="s">
        <v>10</v>
      </c>
      <c r="B11" s="3" t="s">
        <v>11</v>
      </c>
    </row>
    <row r="12" spans="1:4">
      <c r="A12" s="6" t="s">
        <v>12</v>
      </c>
      <c r="B12" s="3" t="s">
        <v>13</v>
      </c>
    </row>
    <row r="13" spans="1:4">
      <c r="A13" s="6" t="s">
        <v>14</v>
      </c>
      <c r="B13" s="3" t="s">
        <v>15</v>
      </c>
    </row>
    <row r="15" spans="1:4">
      <c r="A15" s="4" t="s">
        <v>16</v>
      </c>
    </row>
    <row r="16" spans="1:4" ht="22" customHeight="1">
      <c r="A16" s="8" t="s">
        <v>17</v>
      </c>
      <c r="B16" s="8" t="s">
        <v>18</v>
      </c>
      <c r="C16" s="8" t="s">
        <v>19</v>
      </c>
      <c r="D16" s="8" t="s">
        <v>20</v>
      </c>
    </row>
    <row r="17" spans="1:4">
      <c r="A17" s="9" t="s">
        <v>21</v>
      </c>
      <c r="B17" s="10" t="s">
        <v>22</v>
      </c>
      <c r="C17" s="9" t="s">
        <v>23</v>
      </c>
      <c r="D17" s="9" t="s">
        <v>24</v>
      </c>
    </row>
    <row r="18" spans="1:4">
      <c r="A18" s="9" t="s">
        <v>25</v>
      </c>
      <c r="B18" s="10" t="s">
        <v>26</v>
      </c>
      <c r="C18" s="9" t="s">
        <v>27</v>
      </c>
      <c r="D18" s="9" t="s">
        <v>28</v>
      </c>
    </row>
    <row r="19" spans="1:4">
      <c r="A19" s="11" t="s">
        <v>29</v>
      </c>
      <c r="B19" s="12" t="s">
        <v>30</v>
      </c>
      <c r="C19" s="11" t="s">
        <v>31</v>
      </c>
      <c r="D19" s="11" t="s">
        <v>32</v>
      </c>
    </row>
    <row r="20" spans="1:4">
      <c r="A20" s="13" t="s">
        <v>33</v>
      </c>
      <c r="B20" s="14" t="s">
        <v>34</v>
      </c>
      <c r="C20" s="13" t="s">
        <v>35</v>
      </c>
      <c r="D20" s="13" t="s">
        <v>36</v>
      </c>
    </row>
    <row r="21" spans="1:4">
      <c r="A21" s="9" t="s">
        <v>37</v>
      </c>
      <c r="B21" s="10" t="s">
        <v>38</v>
      </c>
      <c r="C21" s="9" t="s">
        <v>39</v>
      </c>
      <c r="D21" s="9" t="s">
        <v>40</v>
      </c>
    </row>
    <row r="22" spans="1:4">
      <c r="A22" s="15" t="s">
        <v>41</v>
      </c>
      <c r="B22" s="16" t="s">
        <v>42</v>
      </c>
      <c r="C22" s="15" t="s">
        <v>43</v>
      </c>
      <c r="D22" s="15" t="s">
        <v>44</v>
      </c>
    </row>
    <row r="23" spans="1:4">
      <c r="A23" s="15" t="s">
        <v>45</v>
      </c>
      <c r="B23" s="16" t="s">
        <v>46</v>
      </c>
      <c r="C23" s="15" t="s">
        <v>47</v>
      </c>
      <c r="D23" s="15" t="s">
        <v>48</v>
      </c>
    </row>
    <row r="24" spans="1:4">
      <c r="A24" s="15" t="s">
        <v>49</v>
      </c>
      <c r="B24" s="16" t="s">
        <v>50</v>
      </c>
      <c r="C24" s="15" t="s">
        <v>51</v>
      </c>
      <c r="D24" s="15" t="s">
        <v>48</v>
      </c>
    </row>
  </sheetData>
  <mergeCells count="1">
    <mergeCell ref="A6:D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20"/>
  <sheetViews>
    <sheetView showGridLines="0" workbookViewId="0"/>
  </sheetViews>
  <sheetFormatPr defaultRowHeight="15"/>
  <cols>
    <col min="1" max="1" width="22.7109375" customWidth="1"/>
    <col min="2" max="2" width="96.7109375" customWidth="1"/>
  </cols>
  <sheetData>
    <row r="1" spans="1:2">
      <c r="A1" s="2" t="s">
        <v>52</v>
      </c>
    </row>
    <row r="2" spans="1:2" ht="34" customHeight="1">
      <c r="A2" s="5" t="s">
        <v>53</v>
      </c>
      <c r="B2" s="5"/>
    </row>
    <row r="4" spans="1:2">
      <c r="A4" s="6" t="s">
        <v>54</v>
      </c>
      <c r="B4" s="3" t="s">
        <v>55</v>
      </c>
    </row>
    <row r="5" spans="1:2">
      <c r="A5" s="6" t="s">
        <v>56</v>
      </c>
      <c r="B5" s="3" t="s">
        <v>57</v>
      </c>
    </row>
    <row r="6" spans="1:2">
      <c r="A6" s="6" t="s">
        <v>58</v>
      </c>
      <c r="B6" s="3" t="s">
        <v>59</v>
      </c>
    </row>
    <row r="8" spans="1:2">
      <c r="A8" s="4" t="s">
        <v>60</v>
      </c>
    </row>
    <row r="9" spans="1:2">
      <c r="A9" s="6" t="s">
        <v>61</v>
      </c>
      <c r="B9" s="3" t="s">
        <v>62</v>
      </c>
    </row>
    <row r="10" spans="1:2">
      <c r="A10" s="6" t="s">
        <v>63</v>
      </c>
      <c r="B10" s="3" t="s">
        <v>64</v>
      </c>
    </row>
    <row r="11" spans="1:2">
      <c r="A11" s="6" t="s">
        <v>65</v>
      </c>
      <c r="B11" s="3" t="s">
        <v>47</v>
      </c>
    </row>
    <row r="13" spans="1:2">
      <c r="A13" s="4" t="s">
        <v>66</v>
      </c>
    </row>
    <row r="14" spans="1:2">
      <c r="A14" s="6" t="s">
        <v>67</v>
      </c>
      <c r="B14" s="3" t="s">
        <v>68</v>
      </c>
    </row>
    <row r="15" spans="1:2">
      <c r="A15" s="6" t="s">
        <v>69</v>
      </c>
      <c r="B15" s="3" t="s">
        <v>70</v>
      </c>
    </row>
    <row r="16" spans="1:2">
      <c r="A16" s="6" t="s">
        <v>71</v>
      </c>
      <c r="B16" s="3" t="s">
        <v>72</v>
      </c>
    </row>
    <row r="17" spans="1:2">
      <c r="A17" s="6" t="s">
        <v>73</v>
      </c>
      <c r="B17" s="3" t="s">
        <v>74</v>
      </c>
    </row>
    <row r="19" spans="1:2">
      <c r="A19" s="4" t="s">
        <v>75</v>
      </c>
    </row>
    <row r="20" spans="1:2">
      <c r="A20" s="6"/>
      <c r="B20" s="3" t="s">
        <v>76</v>
      </c>
    </row>
  </sheetData>
  <mergeCells count="1">
    <mergeCell ref="A2:B2"/>
  </mergeCell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9"/>
  <sheetViews>
    <sheetView showGridLines="0" workbookViewId="0"/>
  </sheetViews>
  <sheetFormatPr defaultRowHeight="15"/>
  <cols>
    <col min="1" max="6" width="16.7109375" customWidth="1"/>
    <col min="8" max="11" width="16.7109375" customWidth="1"/>
    <col min="13" max="16" width="16.7109375" customWidth="1"/>
  </cols>
  <sheetData>
    <row r="1" spans="1:16">
      <c r="A1" s="8" t="s">
        <v>78</v>
      </c>
      <c r="B1" s="8" t="s">
        <v>22</v>
      </c>
      <c r="C1" s="8" t="s">
        <v>87</v>
      </c>
      <c r="D1" s="8" t="s">
        <v>88</v>
      </c>
      <c r="E1" s="8" t="s">
        <v>89</v>
      </c>
      <c r="F1" s="8" t="s">
        <v>90</v>
      </c>
      <c r="H1" s="8" t="s">
        <v>92</v>
      </c>
      <c r="I1" s="8" t="s">
        <v>22</v>
      </c>
      <c r="J1" s="8" t="s">
        <v>87</v>
      </c>
      <c r="K1" s="8" t="s">
        <v>88</v>
      </c>
      <c r="M1" s="8" t="s">
        <v>94</v>
      </c>
      <c r="N1" s="8" t="s">
        <v>22</v>
      </c>
      <c r="O1" s="8" t="s">
        <v>87</v>
      </c>
      <c r="P1" s="8" t="s">
        <v>88</v>
      </c>
    </row>
    <row r="2" spans="1:16">
      <c r="A2" s="17" t="s">
        <v>79</v>
      </c>
      <c r="B2" s="17">
        <v>94</v>
      </c>
      <c r="C2" s="17">
        <v>100</v>
      </c>
      <c r="D2" s="17">
        <v>100</v>
      </c>
      <c r="E2" s="17">
        <v>94</v>
      </c>
      <c r="F2" s="17">
        <v>94</v>
      </c>
      <c r="H2" s="17" t="s">
        <v>79</v>
      </c>
      <c r="I2" s="17">
        <v>1488.86</v>
      </c>
      <c r="J2" s="17">
        <v>1437.47</v>
      </c>
      <c r="K2" s="17">
        <v>806.63</v>
      </c>
      <c r="M2" s="17" t="s">
        <v>95</v>
      </c>
      <c r="N2" s="17">
        <v>-19.87</v>
      </c>
      <c r="O2" s="17">
        <v>-19.37</v>
      </c>
      <c r="P2" s="17">
        <v>0</v>
      </c>
    </row>
    <row r="3" spans="1:16">
      <c r="A3" s="17" t="s">
        <v>80</v>
      </c>
      <c r="B3" s="17">
        <v>88.36</v>
      </c>
      <c r="C3" s="17">
        <v>100</v>
      </c>
      <c r="D3" s="17">
        <v>100</v>
      </c>
      <c r="E3" s="17">
        <v>88.36</v>
      </c>
      <c r="F3" s="17">
        <v>88.36</v>
      </c>
      <c r="H3" s="17" t="s">
        <v>80</v>
      </c>
      <c r="I3" s="17">
        <v>1118.32</v>
      </c>
      <c r="J3" s="17">
        <v>810.4299999999999</v>
      </c>
      <c r="K3" s="17">
        <v>283</v>
      </c>
      <c r="M3" s="17" t="s">
        <v>96</v>
      </c>
      <c r="N3" s="17">
        <v>93.93000000000001</v>
      </c>
      <c r="O3" s="17">
        <v>20.62</v>
      </c>
      <c r="P3" s="17">
        <v>3.85</v>
      </c>
    </row>
    <row r="4" spans="1:16">
      <c r="A4" s="17" t="s">
        <v>81</v>
      </c>
      <c r="B4" s="17">
        <v>84.18000000000001</v>
      </c>
      <c r="C4" s="17">
        <v>93.08</v>
      </c>
      <c r="D4" s="17">
        <v>100</v>
      </c>
      <c r="E4" s="17">
        <v>84.18000000000001</v>
      </c>
      <c r="F4" s="17">
        <v>84.18000000000001</v>
      </c>
      <c r="H4" s="17" t="s">
        <v>81</v>
      </c>
      <c r="I4" s="17">
        <v>838.63</v>
      </c>
      <c r="J4" s="17">
        <v>766.62</v>
      </c>
      <c r="K4" s="17">
        <v>150.07</v>
      </c>
      <c r="M4" s="17" t="s">
        <v>97</v>
      </c>
      <c r="N4" s="17">
        <v>6508.88</v>
      </c>
      <c r="O4" s="17">
        <v>4318.52</v>
      </c>
      <c r="P4" s="17">
        <v>1675.29</v>
      </c>
    </row>
    <row r="5" spans="1:16">
      <c r="A5" s="17" t="s">
        <v>82</v>
      </c>
      <c r="B5" s="17">
        <v>82.09</v>
      </c>
      <c r="C5" s="17">
        <v>87.3</v>
      </c>
      <c r="D5" s="17">
        <v>100</v>
      </c>
      <c r="E5" s="17">
        <v>82.09</v>
      </c>
      <c r="F5" s="17">
        <v>82.09</v>
      </c>
      <c r="H5" s="17" t="s">
        <v>82</v>
      </c>
      <c r="I5" s="17">
        <v>698.8099999999999</v>
      </c>
      <c r="J5" s="17">
        <v>399.86</v>
      </c>
      <c r="K5" s="17">
        <v>106.8</v>
      </c>
      <c r="M5" s="17" t="s">
        <v>98</v>
      </c>
      <c r="N5" s="17">
        <v>93.93000000000001</v>
      </c>
      <c r="O5" s="17">
        <v>20.62</v>
      </c>
      <c r="P5" s="17">
        <v>3.85</v>
      </c>
    </row>
    <row r="6" spans="1:16">
      <c r="A6" s="17" t="s">
        <v>83</v>
      </c>
      <c r="B6" s="17">
        <v>81.05</v>
      </c>
      <c r="C6" s="17">
        <v>83.5</v>
      </c>
      <c r="D6" s="17">
        <v>100</v>
      </c>
      <c r="E6" s="17">
        <v>81.04000000000001</v>
      </c>
      <c r="F6" s="17">
        <v>81.05</v>
      </c>
      <c r="H6" s="17" t="s">
        <v>83</v>
      </c>
      <c r="I6" s="17">
        <v>628.36</v>
      </c>
      <c r="J6" s="17">
        <v>272.24</v>
      </c>
      <c r="K6" s="17">
        <v>89.86</v>
      </c>
    </row>
    <row r="7" spans="1:16">
      <c r="A7" s="17" t="s">
        <v>84</v>
      </c>
      <c r="B7" s="17">
        <v>80.52</v>
      </c>
      <c r="C7" s="17">
        <v>81.83</v>
      </c>
      <c r="D7" s="17">
        <v>100</v>
      </c>
      <c r="E7" s="17">
        <v>80.52</v>
      </c>
      <c r="F7" s="17">
        <v>80.52</v>
      </c>
      <c r="H7" s="17" t="s">
        <v>84</v>
      </c>
      <c r="I7" s="17">
        <v>593.25</v>
      </c>
      <c r="J7" s="17">
        <v>227.02</v>
      </c>
      <c r="K7" s="17">
        <v>82.51000000000001</v>
      </c>
    </row>
    <row r="8" spans="1:16">
      <c r="A8" s="17" t="s">
        <v>85</v>
      </c>
      <c r="B8" s="17">
        <v>80.26000000000001</v>
      </c>
      <c r="C8" s="17">
        <v>81.03</v>
      </c>
      <c r="D8" s="17">
        <v>100</v>
      </c>
      <c r="E8" s="17">
        <v>80.26000000000001</v>
      </c>
      <c r="F8" s="17">
        <v>80.26000000000001</v>
      </c>
      <c r="H8" s="17" t="s">
        <v>85</v>
      </c>
      <c r="I8" s="17">
        <v>575.61</v>
      </c>
      <c r="J8" s="17">
        <v>207.19</v>
      </c>
      <c r="K8" s="17">
        <v>79.19</v>
      </c>
    </row>
    <row r="9" spans="1:16">
      <c r="A9" s="17" t="s">
        <v>86</v>
      </c>
      <c r="B9" s="17">
        <v>80.13</v>
      </c>
      <c r="C9" s="17">
        <v>80.63</v>
      </c>
      <c r="D9" s="17">
        <v>100</v>
      </c>
      <c r="E9" s="17">
        <v>80.13</v>
      </c>
      <c r="F9" s="17">
        <v>80.13</v>
      </c>
      <c r="H9" s="17" t="s">
        <v>86</v>
      </c>
      <c r="I9" s="17">
        <v>567.04</v>
      </c>
      <c r="J9" s="17">
        <v>197.69</v>
      </c>
      <c r="K9" s="17">
        <v>77.23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B1:B48"/>
  <sheetViews>
    <sheetView showGridLines="0" workbookViewId="0"/>
  </sheetViews>
  <sheetFormatPr defaultRowHeight="15"/>
  <cols>
    <col min="1" max="1" width="2.7109375" customWidth="1"/>
  </cols>
  <sheetData>
    <row r="1" spans="2:2">
      <c r="B1" s="18" t="s">
        <v>77</v>
      </c>
    </row>
    <row r="3" spans="2:2">
      <c r="B3" t="s">
        <v>78</v>
      </c>
    </row>
    <row r="4" spans="2:2">
      <c r="B4" s="19" t="s">
        <v>91</v>
      </c>
    </row>
    <row r="25" spans="2:2">
      <c r="B25" t="s">
        <v>92</v>
      </c>
    </row>
    <row r="26" spans="2:2">
      <c r="B26" s="19" t="s">
        <v>93</v>
      </c>
    </row>
    <row r="47" spans="2:2">
      <c r="B47" t="s">
        <v>94</v>
      </c>
    </row>
    <row r="48" spans="2:2">
      <c r="B48" s="19" t="s">
        <v>99</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I9"/>
  <sheetViews>
    <sheetView showGridLines="0" workbookViewId="0">
      <pane ySplit="4" topLeftCell="A5" activePane="bottomLeft" state="frozen"/>
      <selection pane="bottomLeft"/>
    </sheetView>
  </sheetViews>
  <sheetFormatPr defaultRowHeight="15"/>
  <cols>
    <col min="1" max="1" width="18.7109375" customWidth="1"/>
    <col min="2" max="2" width="17.7109375" customWidth="1"/>
    <col min="3" max="3" width="18.7109375" customWidth="1"/>
    <col min="4" max="4" width="17.7109375" customWidth="1"/>
    <col min="5" max="6" width="16.7109375" customWidth="1"/>
    <col min="7" max="7" width="18.7109375" customWidth="1"/>
    <col min="8" max="8" width="19.7109375" customWidth="1"/>
    <col min="9" max="9" width="46.7109375" customWidth="1"/>
  </cols>
  <sheetData>
    <row r="1" spans="1:9">
      <c r="A1" s="4" t="s">
        <v>100</v>
      </c>
    </row>
    <row r="2" spans="1:9">
      <c r="A2" s="20" t="s">
        <v>101</v>
      </c>
    </row>
    <row r="4" spans="1:9" ht="24" customHeight="1">
      <c r="A4" s="8" t="s">
        <v>102</v>
      </c>
      <c r="B4" s="8" t="s">
        <v>95</v>
      </c>
      <c r="C4" s="8" t="s">
        <v>103</v>
      </c>
      <c r="D4" s="8" t="s">
        <v>104</v>
      </c>
      <c r="E4" s="8" t="s">
        <v>105</v>
      </c>
      <c r="F4" s="8" t="s">
        <v>106</v>
      </c>
      <c r="G4" s="8" t="s">
        <v>98</v>
      </c>
      <c r="H4" s="8" t="s">
        <v>107</v>
      </c>
      <c r="I4" s="8" t="s">
        <v>108</v>
      </c>
    </row>
    <row r="5" spans="1:9">
      <c r="A5" s="10" t="s">
        <v>22</v>
      </c>
      <c r="B5" s="10" t="s">
        <v>109</v>
      </c>
      <c r="C5" s="10" t="s">
        <v>110</v>
      </c>
      <c r="D5" s="10" t="s">
        <v>26</v>
      </c>
      <c r="E5" s="10" t="s">
        <v>111</v>
      </c>
      <c r="F5" s="10" t="s">
        <v>38</v>
      </c>
      <c r="G5" s="10" t="s">
        <v>38</v>
      </c>
      <c r="H5" s="10" t="s">
        <v>42</v>
      </c>
      <c r="I5" s="10" t="s">
        <v>112</v>
      </c>
    </row>
    <row r="6" spans="1:9">
      <c r="A6" s="17" t="s">
        <v>87</v>
      </c>
      <c r="B6" s="17" t="s">
        <v>113</v>
      </c>
      <c r="C6" s="17" t="s">
        <v>114</v>
      </c>
      <c r="D6" s="17" t="s">
        <v>30</v>
      </c>
      <c r="E6" s="17" t="s">
        <v>115</v>
      </c>
      <c r="F6" s="17" t="s">
        <v>116</v>
      </c>
      <c r="G6" s="17" t="s">
        <v>116</v>
      </c>
      <c r="H6" s="17" t="s">
        <v>117</v>
      </c>
      <c r="I6" s="21" t="s">
        <v>118</v>
      </c>
    </row>
    <row r="7" spans="1:9">
      <c r="A7" s="17" t="s">
        <v>88</v>
      </c>
      <c r="B7" s="17" t="s">
        <v>119</v>
      </c>
      <c r="C7" s="17" t="s">
        <v>120</v>
      </c>
      <c r="D7" s="17" t="s">
        <v>34</v>
      </c>
      <c r="E7" s="17" t="s">
        <v>121</v>
      </c>
      <c r="F7" s="17" t="s">
        <v>122</v>
      </c>
      <c r="G7" s="17" t="s">
        <v>122</v>
      </c>
      <c r="H7" s="17" t="s">
        <v>123</v>
      </c>
      <c r="I7" s="21" t="s">
        <v>124</v>
      </c>
    </row>
    <row r="9" spans="1:9">
      <c r="A9" s="20" t="s">
        <v>125</v>
      </c>
    </row>
  </sheetData>
  <autoFilter ref="A4:I7"/>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7"/>
  <sheetViews>
    <sheetView showGridLines="0" workbookViewId="0">
      <pane ySplit="4" topLeftCell="A5" activePane="bottomLeft" state="frozen"/>
      <selection pane="bottomLeft"/>
    </sheetView>
  </sheetViews>
  <sheetFormatPr defaultRowHeight="15"/>
  <cols>
    <col min="1" max="2" width="11.7109375" customWidth="1"/>
    <col min="3" max="3" width="14.7109375" customWidth="1"/>
    <col min="4" max="4" width="20.7109375" customWidth="1"/>
    <col min="5" max="5" width="24.7109375" customWidth="1"/>
    <col min="6" max="7" width="18.7109375" customWidth="1"/>
    <col min="8" max="8" width="17.7109375" customWidth="1"/>
    <col min="9" max="9" width="27.7109375" customWidth="1"/>
    <col min="10" max="10" width="11.7109375" customWidth="1"/>
  </cols>
  <sheetData>
    <row r="1" spans="1:10">
      <c r="A1" s="4" t="s">
        <v>126</v>
      </c>
    </row>
    <row r="2" spans="1:10">
      <c r="A2" s="20" t="s">
        <v>127</v>
      </c>
    </row>
    <row r="4" spans="1:10" ht="24" customHeight="1">
      <c r="A4" s="8" t="s">
        <v>128</v>
      </c>
      <c r="B4" s="8" t="s">
        <v>129</v>
      </c>
      <c r="C4" s="8" t="s">
        <v>130</v>
      </c>
      <c r="D4" s="8" t="s">
        <v>131</v>
      </c>
      <c r="E4" s="8" t="s">
        <v>132</v>
      </c>
      <c r="F4" s="8" t="s">
        <v>133</v>
      </c>
      <c r="G4" s="8" t="s">
        <v>103</v>
      </c>
      <c r="H4" s="8" t="s">
        <v>104</v>
      </c>
      <c r="I4" s="8" t="s">
        <v>134</v>
      </c>
      <c r="J4" s="8" t="s">
        <v>135</v>
      </c>
    </row>
    <row r="5" spans="1:10">
      <c r="A5" s="17" t="s">
        <v>136</v>
      </c>
      <c r="B5" s="17" t="s">
        <v>137</v>
      </c>
      <c r="C5" s="17" t="s">
        <v>138</v>
      </c>
      <c r="D5" s="17" t="s">
        <v>139</v>
      </c>
      <c r="E5" s="17" t="s">
        <v>140</v>
      </c>
      <c r="F5" s="17" t="s">
        <v>141</v>
      </c>
      <c r="G5" s="17" t="s">
        <v>142</v>
      </c>
      <c r="H5" s="17" t="s">
        <v>143</v>
      </c>
      <c r="I5" s="17" t="s">
        <v>144</v>
      </c>
      <c r="J5" s="17" t="s">
        <v>145</v>
      </c>
    </row>
    <row r="7" spans="1:10">
      <c r="A7" s="20" t="s">
        <v>146</v>
      </c>
    </row>
  </sheetData>
  <autoFilter ref="A4:J5"/>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12"/>
  <sheetViews>
    <sheetView showGridLines="0" workbookViewId="0">
      <pane ySplit="4" topLeftCell="A5" activePane="bottomLeft" state="frozen"/>
      <selection pane="bottomLeft"/>
    </sheetView>
  </sheetViews>
  <sheetFormatPr defaultRowHeight="15"/>
  <cols>
    <col min="1" max="1" width="11.7109375" customWidth="1"/>
    <col min="2" max="2" width="13.7109375" customWidth="1"/>
    <col min="3" max="3" width="14.7109375" customWidth="1"/>
    <col min="4" max="4" width="18.7109375" customWidth="1"/>
    <col min="5" max="6" width="12.7109375" customWidth="1"/>
  </cols>
  <sheetData>
    <row r="1" spans="1:6">
      <c r="A1" s="4" t="s">
        <v>147</v>
      </c>
    </row>
    <row r="2" spans="1:6">
      <c r="A2" s="20" t="s">
        <v>148</v>
      </c>
    </row>
    <row r="4" spans="1:6" ht="24" customHeight="1">
      <c r="A4" s="8" t="s">
        <v>149</v>
      </c>
      <c r="B4" s="8" t="s">
        <v>150</v>
      </c>
      <c r="C4" s="8" t="s">
        <v>151</v>
      </c>
      <c r="D4" s="8" t="s">
        <v>98</v>
      </c>
      <c r="E4" s="8" t="s">
        <v>152</v>
      </c>
      <c r="F4" s="8" t="s">
        <v>153</v>
      </c>
    </row>
    <row r="5" spans="1:6">
      <c r="A5" s="17" t="s">
        <v>79</v>
      </c>
      <c r="B5" s="17" t="s">
        <v>154</v>
      </c>
      <c r="C5" s="17" t="s">
        <v>154</v>
      </c>
      <c r="D5" s="17" t="s">
        <v>155</v>
      </c>
      <c r="E5" s="17" t="s">
        <v>156</v>
      </c>
      <c r="F5" s="17" t="s">
        <v>157</v>
      </c>
    </row>
    <row r="6" spans="1:6">
      <c r="A6" s="17" t="s">
        <v>80</v>
      </c>
      <c r="B6" s="17" t="s">
        <v>158</v>
      </c>
      <c r="C6" s="17" t="s">
        <v>158</v>
      </c>
      <c r="D6" s="17" t="s">
        <v>159</v>
      </c>
      <c r="E6" s="17" t="s">
        <v>160</v>
      </c>
      <c r="F6" s="17" t="s">
        <v>161</v>
      </c>
    </row>
    <row r="7" spans="1:6">
      <c r="A7" s="17" t="s">
        <v>81</v>
      </c>
      <c r="B7" s="17" t="s">
        <v>162</v>
      </c>
      <c r="C7" s="17" t="s">
        <v>162</v>
      </c>
      <c r="D7" s="17" t="s">
        <v>163</v>
      </c>
      <c r="E7" s="17" t="s">
        <v>164</v>
      </c>
      <c r="F7" s="17" t="s">
        <v>165</v>
      </c>
    </row>
    <row r="8" spans="1:6">
      <c r="A8" s="17" t="s">
        <v>82</v>
      </c>
      <c r="B8" s="17" t="s">
        <v>166</v>
      </c>
      <c r="C8" s="17" t="s">
        <v>166</v>
      </c>
      <c r="D8" s="17" t="s">
        <v>167</v>
      </c>
      <c r="E8" s="17" t="s">
        <v>168</v>
      </c>
      <c r="F8" s="17" t="s">
        <v>169</v>
      </c>
    </row>
    <row r="9" spans="1:6">
      <c r="A9" s="17" t="s">
        <v>83</v>
      </c>
      <c r="B9" s="17" t="s">
        <v>170</v>
      </c>
      <c r="C9" s="17" t="s">
        <v>170</v>
      </c>
      <c r="D9" s="17" t="s">
        <v>38</v>
      </c>
      <c r="E9" s="17" t="s">
        <v>171</v>
      </c>
      <c r="F9" s="17" t="s">
        <v>172</v>
      </c>
    </row>
    <row r="10" spans="1:6">
      <c r="A10" s="17" t="s">
        <v>84</v>
      </c>
      <c r="B10" s="17" t="s">
        <v>173</v>
      </c>
      <c r="C10" s="17" t="s">
        <v>173</v>
      </c>
      <c r="D10" s="17" t="s">
        <v>38</v>
      </c>
      <c r="E10" s="17" t="s">
        <v>174</v>
      </c>
      <c r="F10" s="17" t="s">
        <v>175</v>
      </c>
    </row>
    <row r="11" spans="1:6">
      <c r="A11" s="17" t="s">
        <v>85</v>
      </c>
      <c r="B11" s="17" t="s">
        <v>176</v>
      </c>
      <c r="C11" s="17" t="s">
        <v>176</v>
      </c>
      <c r="D11" s="17" t="s">
        <v>38</v>
      </c>
      <c r="E11" s="17" t="s">
        <v>177</v>
      </c>
      <c r="F11" s="17" t="s">
        <v>178</v>
      </c>
    </row>
    <row r="12" spans="1:6">
      <c r="A12" s="17" t="s">
        <v>86</v>
      </c>
      <c r="B12" s="17" t="s">
        <v>179</v>
      </c>
      <c r="C12" s="17" t="s">
        <v>179</v>
      </c>
      <c r="D12" s="17" t="s">
        <v>38</v>
      </c>
      <c r="E12" s="17" t="s">
        <v>180</v>
      </c>
      <c r="F12" s="17" t="s">
        <v>181</v>
      </c>
    </row>
  </sheetData>
  <autoFilter ref="A4:F12"/>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F27"/>
  <sheetViews>
    <sheetView showGridLines="0" workbookViewId="0">
      <pane ySplit="4" topLeftCell="A5" activePane="bottomLeft" state="frozen"/>
      <selection pane="bottomLeft"/>
    </sheetView>
  </sheetViews>
  <sheetFormatPr defaultRowHeight="15"/>
  <cols>
    <col min="1" max="1" width="17.7109375" customWidth="1"/>
    <col min="2" max="2" width="18.7109375" customWidth="1"/>
    <col min="3" max="3" width="19.7109375" customWidth="1"/>
    <col min="4" max="4" width="16.7109375" customWidth="1"/>
    <col min="5" max="5" width="18.7109375" customWidth="1"/>
    <col min="6" max="6" width="28.7109375" customWidth="1"/>
  </cols>
  <sheetData>
    <row r="1" spans="1:6">
      <c r="A1" s="4" t="s">
        <v>182</v>
      </c>
    </row>
    <row r="2" spans="1:6">
      <c r="A2" s="20" t="s">
        <v>183</v>
      </c>
    </row>
    <row r="4" spans="1:6" ht="24" customHeight="1">
      <c r="A4" s="8" t="s">
        <v>184</v>
      </c>
      <c r="B4" s="8" t="s">
        <v>22</v>
      </c>
      <c r="C4" s="8" t="s">
        <v>87</v>
      </c>
      <c r="D4" s="8" t="s">
        <v>88</v>
      </c>
      <c r="E4" s="8" t="s">
        <v>185</v>
      </c>
      <c r="F4" s="8" t="s">
        <v>186</v>
      </c>
    </row>
    <row r="5" spans="1:6">
      <c r="A5" s="17" t="s">
        <v>187</v>
      </c>
      <c r="B5" s="17" t="s">
        <v>188</v>
      </c>
      <c r="C5" s="17" t="s">
        <v>189</v>
      </c>
      <c r="D5" s="17" t="s">
        <v>190</v>
      </c>
      <c r="E5" s="17" t="s">
        <v>22</v>
      </c>
      <c r="F5" s="17" t="s">
        <v>191</v>
      </c>
    </row>
    <row r="6" spans="1:6">
      <c r="A6" s="17" t="s">
        <v>192</v>
      </c>
      <c r="B6" s="17" t="s">
        <v>193</v>
      </c>
      <c r="C6" s="17" t="s">
        <v>194</v>
      </c>
      <c r="D6" s="17" t="s">
        <v>195</v>
      </c>
      <c r="E6" s="17" t="s">
        <v>87</v>
      </c>
      <c r="F6" s="17" t="s">
        <v>196</v>
      </c>
    </row>
    <row r="7" spans="1:6">
      <c r="A7" s="17" t="s">
        <v>197</v>
      </c>
      <c r="B7" s="17" t="s">
        <v>198</v>
      </c>
      <c r="C7" s="17" t="s">
        <v>199</v>
      </c>
      <c r="D7" s="17" t="s">
        <v>200</v>
      </c>
      <c r="E7" s="17" t="s">
        <v>87</v>
      </c>
      <c r="F7" s="17" t="s">
        <v>196</v>
      </c>
    </row>
    <row r="8" spans="1:6">
      <c r="A8" s="17" t="s">
        <v>201</v>
      </c>
      <c r="B8" s="17" t="s">
        <v>202</v>
      </c>
      <c r="C8" s="17" t="s">
        <v>203</v>
      </c>
      <c r="D8" s="17" t="s">
        <v>204</v>
      </c>
      <c r="E8" s="17" t="s">
        <v>87</v>
      </c>
      <c r="F8" s="17" t="s">
        <v>196</v>
      </c>
    </row>
    <row r="9" spans="1:6">
      <c r="A9" s="17" t="s">
        <v>205</v>
      </c>
      <c r="B9" s="17" t="s">
        <v>206</v>
      </c>
      <c r="C9" s="17" t="s">
        <v>207</v>
      </c>
      <c r="D9" s="17" t="s">
        <v>208</v>
      </c>
      <c r="E9" s="17" t="s">
        <v>87</v>
      </c>
      <c r="F9" s="17" t="s">
        <v>196</v>
      </c>
    </row>
    <row r="10" spans="1:6">
      <c r="A10" s="17" t="s">
        <v>209</v>
      </c>
      <c r="B10" s="17" t="s">
        <v>210</v>
      </c>
      <c r="C10" s="17" t="s">
        <v>211</v>
      </c>
      <c r="D10" s="17" t="s">
        <v>212</v>
      </c>
      <c r="E10" s="17" t="s">
        <v>22</v>
      </c>
      <c r="F10" s="17" t="s">
        <v>191</v>
      </c>
    </row>
    <row r="11" spans="1:6">
      <c r="A11" s="10" t="s">
        <v>213</v>
      </c>
      <c r="B11" s="10" t="s">
        <v>214</v>
      </c>
      <c r="C11" s="10" t="s">
        <v>215</v>
      </c>
      <c r="D11" s="10" t="s">
        <v>216</v>
      </c>
      <c r="E11" s="10" t="s">
        <v>22</v>
      </c>
      <c r="F11" s="10" t="s">
        <v>191</v>
      </c>
    </row>
    <row r="12" spans="1:6">
      <c r="A12" s="17" t="s">
        <v>217</v>
      </c>
      <c r="B12" s="17" t="s">
        <v>218</v>
      </c>
      <c r="C12" s="17" t="s">
        <v>219</v>
      </c>
      <c r="D12" s="17" t="s">
        <v>220</v>
      </c>
      <c r="E12" s="17" t="s">
        <v>22</v>
      </c>
      <c r="F12" s="17" t="s">
        <v>191</v>
      </c>
    </row>
    <row r="13" spans="1:6">
      <c r="A13" s="17" t="s">
        <v>221</v>
      </c>
      <c r="B13" s="17" t="s">
        <v>222</v>
      </c>
      <c r="C13" s="17" t="s">
        <v>223</v>
      </c>
      <c r="D13" s="17" t="s">
        <v>224</v>
      </c>
      <c r="E13" s="17" t="s">
        <v>22</v>
      </c>
      <c r="F13" s="17" t="s">
        <v>191</v>
      </c>
    </row>
    <row r="14" spans="1:6">
      <c r="A14" s="17" t="s">
        <v>225</v>
      </c>
      <c r="B14" s="17" t="s">
        <v>226</v>
      </c>
      <c r="C14" s="17" t="s">
        <v>227</v>
      </c>
      <c r="D14" s="17" t="s">
        <v>228</v>
      </c>
      <c r="E14" s="17" t="s">
        <v>22</v>
      </c>
      <c r="F14" s="17" t="s">
        <v>191</v>
      </c>
    </row>
    <row r="15" spans="1:6">
      <c r="A15" s="17" t="s">
        <v>229</v>
      </c>
      <c r="B15" s="17" t="s">
        <v>230</v>
      </c>
      <c r="C15" s="17" t="s">
        <v>231</v>
      </c>
      <c r="D15" s="17" t="s">
        <v>232</v>
      </c>
      <c r="E15" s="17" t="s">
        <v>22</v>
      </c>
      <c r="F15" s="17" t="s">
        <v>191</v>
      </c>
    </row>
    <row r="16" spans="1:6">
      <c r="A16" s="17" t="s">
        <v>233</v>
      </c>
      <c r="B16" s="17" t="s">
        <v>234</v>
      </c>
      <c r="C16" s="17" t="s">
        <v>235</v>
      </c>
      <c r="D16" s="17" t="s">
        <v>236</v>
      </c>
      <c r="E16" s="17" t="s">
        <v>22</v>
      </c>
      <c r="F16" s="17" t="s">
        <v>191</v>
      </c>
    </row>
    <row r="17" spans="1:6">
      <c r="A17" s="17" t="s">
        <v>237</v>
      </c>
      <c r="B17" s="17" t="s">
        <v>238</v>
      </c>
      <c r="C17" s="17" t="s">
        <v>239</v>
      </c>
      <c r="D17" s="17" t="s">
        <v>240</v>
      </c>
      <c r="E17" s="17" t="s">
        <v>22</v>
      </c>
      <c r="F17" s="17" t="s">
        <v>191</v>
      </c>
    </row>
    <row r="18" spans="1:6">
      <c r="A18" s="17" t="s">
        <v>241</v>
      </c>
      <c r="B18" s="17" t="s">
        <v>242</v>
      </c>
      <c r="C18" s="17" t="s">
        <v>243</v>
      </c>
      <c r="D18" s="17" t="s">
        <v>244</v>
      </c>
      <c r="E18" s="17" t="s">
        <v>22</v>
      </c>
      <c r="F18" s="17" t="s">
        <v>191</v>
      </c>
    </row>
    <row r="19" spans="1:6">
      <c r="A19" s="17" t="s">
        <v>245</v>
      </c>
      <c r="B19" s="17" t="s">
        <v>246</v>
      </c>
      <c r="C19" s="17" t="s">
        <v>247</v>
      </c>
      <c r="D19" s="17" t="s">
        <v>248</v>
      </c>
      <c r="E19" s="17" t="s">
        <v>22</v>
      </c>
      <c r="F19" s="17" t="s">
        <v>191</v>
      </c>
    </row>
    <row r="20" spans="1:6">
      <c r="A20" s="17" t="s">
        <v>249</v>
      </c>
      <c r="B20" s="17" t="s">
        <v>250</v>
      </c>
      <c r="C20" s="17" t="s">
        <v>251</v>
      </c>
      <c r="D20" s="17" t="s">
        <v>252</v>
      </c>
      <c r="E20" s="17" t="s">
        <v>22</v>
      </c>
      <c r="F20" s="17" t="s">
        <v>191</v>
      </c>
    </row>
    <row r="21" spans="1:6">
      <c r="A21" s="17" t="s">
        <v>253</v>
      </c>
      <c r="B21" s="17" t="s">
        <v>254</v>
      </c>
      <c r="C21" s="17" t="s">
        <v>255</v>
      </c>
      <c r="D21" s="17" t="s">
        <v>256</v>
      </c>
      <c r="E21" s="17" t="s">
        <v>22</v>
      </c>
      <c r="F21" s="17" t="s">
        <v>191</v>
      </c>
    </row>
    <row r="22" spans="1:6">
      <c r="A22" s="17" t="s">
        <v>257</v>
      </c>
      <c r="B22" s="17" t="s">
        <v>258</v>
      </c>
      <c r="C22" s="17" t="s">
        <v>259</v>
      </c>
      <c r="D22" s="17" t="s">
        <v>260</v>
      </c>
      <c r="E22" s="17" t="s">
        <v>22</v>
      </c>
      <c r="F22" s="17" t="s">
        <v>191</v>
      </c>
    </row>
    <row r="23" spans="1:6">
      <c r="A23" s="17" t="s">
        <v>261</v>
      </c>
      <c r="B23" s="17" t="s">
        <v>262</v>
      </c>
      <c r="C23" s="17" t="s">
        <v>263</v>
      </c>
      <c r="D23" s="17" t="s">
        <v>264</v>
      </c>
      <c r="E23" s="17" t="s">
        <v>22</v>
      </c>
      <c r="F23" s="17" t="s">
        <v>191</v>
      </c>
    </row>
    <row r="24" spans="1:6">
      <c r="A24" s="17" t="s">
        <v>265</v>
      </c>
      <c r="B24" s="17" t="s">
        <v>266</v>
      </c>
      <c r="C24" s="17" t="s">
        <v>267</v>
      </c>
      <c r="D24" s="17" t="s">
        <v>268</v>
      </c>
      <c r="E24" s="17" t="s">
        <v>22</v>
      </c>
      <c r="F24" s="17" t="s">
        <v>191</v>
      </c>
    </row>
    <row r="25" spans="1:6">
      <c r="A25" s="17" t="s">
        <v>269</v>
      </c>
      <c r="B25" s="17" t="s">
        <v>270</v>
      </c>
      <c r="C25" s="17" t="s">
        <v>271</v>
      </c>
      <c r="D25" s="17" t="s">
        <v>272</v>
      </c>
      <c r="E25" s="17" t="s">
        <v>22</v>
      </c>
      <c r="F25" s="17" t="s">
        <v>191</v>
      </c>
    </row>
    <row r="27" spans="1:6">
      <c r="A27" s="20" t="s">
        <v>47</v>
      </c>
    </row>
  </sheetData>
  <autoFilter ref="A4:F25"/>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B23"/>
  <sheetViews>
    <sheetView showGridLines="0" workbookViewId="0"/>
  </sheetViews>
  <sheetFormatPr defaultRowHeight="15"/>
  <cols>
    <col min="1" max="1" width="8.7109375" customWidth="1"/>
    <col min="2" max="2" width="110.7109375" customWidth="1"/>
  </cols>
  <sheetData>
    <row r="1" spans="1:2">
      <c r="A1" s="4" t="s">
        <v>273</v>
      </c>
    </row>
    <row r="3" spans="1:2">
      <c r="A3" s="6" t="s">
        <v>274</v>
      </c>
    </row>
    <row r="4" spans="1:2">
      <c r="A4" s="6" t="s">
        <v>275</v>
      </c>
      <c r="B4" s="22" t="s">
        <v>276</v>
      </c>
    </row>
    <row r="6" spans="1:2">
      <c r="A6" s="6" t="s">
        <v>277</v>
      </c>
    </row>
    <row r="7" spans="1:2">
      <c r="A7" s="6">
        <v>1</v>
      </c>
      <c r="B7" s="3" t="s">
        <v>278</v>
      </c>
    </row>
    <row r="8" spans="1:2">
      <c r="A8" s="6">
        <v>2</v>
      </c>
      <c r="B8" s="3" t="s">
        <v>279</v>
      </c>
    </row>
    <row r="9" spans="1:2">
      <c r="A9" s="6">
        <v>3</v>
      </c>
      <c r="B9" s="3" t="s">
        <v>280</v>
      </c>
    </row>
    <row r="10" spans="1:2">
      <c r="A10" s="6">
        <v>4</v>
      </c>
      <c r="B10" s="3" t="s">
        <v>281</v>
      </c>
    </row>
    <row r="11" spans="1:2">
      <c r="A11" s="6">
        <v>5</v>
      </c>
      <c r="B11" s="3" t="s">
        <v>282</v>
      </c>
    </row>
    <row r="12" spans="1:2">
      <c r="A12" s="6">
        <v>6</v>
      </c>
      <c r="B12" s="3" t="s">
        <v>283</v>
      </c>
    </row>
    <row r="13" spans="1:2">
      <c r="A13" s="6">
        <v>7</v>
      </c>
      <c r="B13" s="3" t="s">
        <v>284</v>
      </c>
    </row>
    <row r="14" spans="1:2">
      <c r="A14" s="6">
        <v>8</v>
      </c>
      <c r="B14" s="3" t="s">
        <v>285</v>
      </c>
    </row>
    <row r="15" spans="1:2">
      <c r="A15" s="6">
        <v>9</v>
      </c>
      <c r="B15" s="3" t="s">
        <v>286</v>
      </c>
    </row>
    <row r="16" spans="1:2">
      <c r="A16" s="6">
        <v>10</v>
      </c>
      <c r="B16" s="3" t="s">
        <v>287</v>
      </c>
    </row>
    <row r="17" spans="1:2">
      <c r="A17" s="6">
        <v>11</v>
      </c>
      <c r="B17" s="3" t="s">
        <v>288</v>
      </c>
    </row>
    <row r="18" spans="1:2">
      <c r="A18" s="6">
        <v>12</v>
      </c>
      <c r="B18" s="3" t="s">
        <v>289</v>
      </c>
    </row>
    <row r="19" spans="1:2">
      <c r="A19" s="6">
        <v>13</v>
      </c>
      <c r="B19" s="3" t="s">
        <v>290</v>
      </c>
    </row>
    <row r="20" spans="1:2">
      <c r="A20" s="6">
        <v>14</v>
      </c>
      <c r="B20" s="3" t="s">
        <v>291</v>
      </c>
    </row>
    <row r="21" spans="1:2">
      <c r="A21" s="6">
        <v>15</v>
      </c>
      <c r="B21" s="3" t="s">
        <v>292</v>
      </c>
    </row>
    <row r="22" spans="1:2">
      <c r="A22" s="6">
        <v>16</v>
      </c>
      <c r="B22" s="3" t="s">
        <v>293</v>
      </c>
    </row>
    <row r="23" spans="1:2">
      <c r="A23" s="6">
        <v>17</v>
      </c>
      <c r="B23" s="3" t="s">
        <v>294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41"/>
  <sheetViews>
    <sheetView showGridLines="0" workbookViewId="0">
      <pane ySplit="1" topLeftCell="A2" activePane="bottomLeft" state="frozen"/>
      <selection pane="bottomLeft"/>
    </sheetView>
  </sheetViews>
  <sheetFormatPr defaultRowHeight="15"/>
  <cols>
    <col min="1" max="1" width="12.7109375" customWidth="1"/>
    <col min="2" max="2" width="14.7109375" customWidth="1"/>
    <col min="3" max="3" width="90.7109375" customWidth="1"/>
    <col min="4" max="4" width="60.7109375" customWidth="1"/>
  </cols>
  <sheetData>
    <row r="1" spans="1:4" ht="22" customHeight="1">
      <c r="A1" s="8" t="s">
        <v>295</v>
      </c>
      <c r="B1" s="8" t="s">
        <v>296</v>
      </c>
      <c r="C1" s="8" t="s">
        <v>297</v>
      </c>
      <c r="D1" s="8" t="s">
        <v>298</v>
      </c>
    </row>
    <row r="2" spans="1:4">
      <c r="A2" s="23" t="s">
        <v>299</v>
      </c>
      <c r="B2" s="17" t="s">
        <v>300</v>
      </c>
      <c r="C2" s="21" t="s">
        <v>301</v>
      </c>
      <c r="D2" s="21"/>
    </row>
    <row r="3" spans="1:4">
      <c r="A3" s="23" t="s">
        <v>302</v>
      </c>
      <c r="B3" s="17" t="s">
        <v>300</v>
      </c>
      <c r="C3" s="21" t="s">
        <v>303</v>
      </c>
      <c r="D3" s="21" t="s">
        <v>304</v>
      </c>
    </row>
    <row r="4" spans="1:4">
      <c r="A4" s="23" t="s">
        <v>302</v>
      </c>
      <c r="B4" s="17" t="s">
        <v>300</v>
      </c>
      <c r="C4" s="21" t="s">
        <v>305</v>
      </c>
      <c r="D4" s="21"/>
    </row>
    <row r="5" spans="1:4">
      <c r="A5" s="23" t="s">
        <v>302</v>
      </c>
      <c r="B5" s="17" t="s">
        <v>300</v>
      </c>
      <c r="C5" s="21" t="s">
        <v>306</v>
      </c>
      <c r="D5" s="21"/>
    </row>
    <row r="6" spans="1:4">
      <c r="A6" s="23" t="s">
        <v>302</v>
      </c>
      <c r="B6" s="17" t="s">
        <v>300</v>
      </c>
      <c r="C6" s="21" t="s">
        <v>307</v>
      </c>
      <c r="D6" s="21"/>
    </row>
    <row r="7" spans="1:4">
      <c r="A7" s="23" t="s">
        <v>302</v>
      </c>
      <c r="B7" s="17" t="s">
        <v>300</v>
      </c>
      <c r="C7" s="21" t="s">
        <v>308</v>
      </c>
      <c r="D7" s="21"/>
    </row>
    <row r="8" spans="1:4">
      <c r="A8" s="23" t="s">
        <v>302</v>
      </c>
      <c r="B8" s="17" t="s">
        <v>300</v>
      </c>
      <c r="C8" s="21" t="s">
        <v>309</v>
      </c>
      <c r="D8" s="21"/>
    </row>
    <row r="9" spans="1:4">
      <c r="A9" s="23" t="s">
        <v>302</v>
      </c>
      <c r="B9" s="17" t="s">
        <v>300</v>
      </c>
      <c r="C9" s="21" t="s">
        <v>310</v>
      </c>
      <c r="D9" s="21"/>
    </row>
    <row r="10" spans="1:4">
      <c r="A10" s="23" t="s">
        <v>302</v>
      </c>
      <c r="B10" s="17" t="s">
        <v>300</v>
      </c>
      <c r="C10" s="21" t="s">
        <v>311</v>
      </c>
      <c r="D10" s="21"/>
    </row>
    <row r="11" spans="1:4">
      <c r="A11" s="23" t="s">
        <v>302</v>
      </c>
      <c r="B11" s="17" t="s">
        <v>300</v>
      </c>
      <c r="C11" s="21" t="s">
        <v>288</v>
      </c>
      <c r="D11" s="21" t="s">
        <v>312</v>
      </c>
    </row>
    <row r="12" spans="1:4">
      <c r="A12" s="23" t="s">
        <v>302</v>
      </c>
      <c r="B12" s="17" t="s">
        <v>300</v>
      </c>
      <c r="C12" s="21" t="s">
        <v>289</v>
      </c>
      <c r="D12" s="21" t="s">
        <v>312</v>
      </c>
    </row>
    <row r="13" spans="1:4">
      <c r="A13" s="23" t="s">
        <v>302</v>
      </c>
      <c r="B13" s="17" t="s">
        <v>300</v>
      </c>
      <c r="C13" s="21" t="s">
        <v>290</v>
      </c>
      <c r="D13" s="21" t="s">
        <v>312</v>
      </c>
    </row>
    <row r="14" spans="1:4">
      <c r="A14" s="23" t="s">
        <v>302</v>
      </c>
      <c r="B14" s="17" t="s">
        <v>300</v>
      </c>
      <c r="C14" s="21" t="s">
        <v>291</v>
      </c>
      <c r="D14" s="21" t="s">
        <v>312</v>
      </c>
    </row>
    <row r="15" spans="1:4">
      <c r="A15" s="23" t="s">
        <v>302</v>
      </c>
      <c r="B15" s="17" t="s">
        <v>300</v>
      </c>
      <c r="C15" s="21" t="s">
        <v>292</v>
      </c>
      <c r="D15" s="21" t="s">
        <v>312</v>
      </c>
    </row>
    <row r="16" spans="1:4">
      <c r="A16" s="23" t="s">
        <v>302</v>
      </c>
      <c r="B16" s="17" t="s">
        <v>300</v>
      </c>
      <c r="C16" s="21" t="s">
        <v>293</v>
      </c>
      <c r="D16" s="21" t="s">
        <v>312</v>
      </c>
    </row>
    <row r="17" spans="1:4">
      <c r="A17" s="23" t="s">
        <v>302</v>
      </c>
      <c r="B17" s="17" t="s">
        <v>300</v>
      </c>
      <c r="C17" s="21" t="s">
        <v>294</v>
      </c>
      <c r="D17" s="21" t="s">
        <v>312</v>
      </c>
    </row>
    <row r="18" spans="1:4">
      <c r="A18" s="23" t="s">
        <v>313</v>
      </c>
      <c r="B18" s="17" t="s">
        <v>300</v>
      </c>
      <c r="C18" s="21" t="s">
        <v>314</v>
      </c>
      <c r="D18" s="21"/>
    </row>
    <row r="19" spans="1:4">
      <c r="A19" s="23" t="s">
        <v>313</v>
      </c>
      <c r="B19" s="17" t="s">
        <v>315</v>
      </c>
      <c r="C19" s="21" t="s">
        <v>316</v>
      </c>
      <c r="D19" s="21"/>
    </row>
    <row r="20" spans="1:4">
      <c r="A20" s="23" t="s">
        <v>313</v>
      </c>
      <c r="B20" s="17" t="s">
        <v>317</v>
      </c>
      <c r="C20" s="21" t="s">
        <v>318</v>
      </c>
      <c r="D20" s="21"/>
    </row>
    <row r="21" spans="1:4">
      <c r="A21" s="23" t="s">
        <v>319</v>
      </c>
      <c r="B21" s="17" t="s">
        <v>320</v>
      </c>
      <c r="C21" s="21" t="s">
        <v>276</v>
      </c>
      <c r="D21" s="21"/>
    </row>
    <row r="22" spans="1:4">
      <c r="A22" s="23" t="s">
        <v>319</v>
      </c>
      <c r="B22" s="17" t="s">
        <v>300</v>
      </c>
      <c r="C22" s="21" t="s">
        <v>321</v>
      </c>
      <c r="D22" s="21" t="s">
        <v>322</v>
      </c>
    </row>
    <row r="23" spans="1:4">
      <c r="A23" s="23" t="s">
        <v>319</v>
      </c>
      <c r="B23" s="17" t="s">
        <v>300</v>
      </c>
      <c r="C23" s="21" t="s">
        <v>323</v>
      </c>
      <c r="D23" s="21"/>
    </row>
    <row r="24" spans="1:4">
      <c r="A24" s="23" t="s">
        <v>324</v>
      </c>
      <c r="B24" s="17" t="s">
        <v>315</v>
      </c>
      <c r="C24" s="21" t="s">
        <v>325</v>
      </c>
      <c r="D24" s="21"/>
    </row>
    <row r="25" spans="1:4">
      <c r="A25" s="23" t="s">
        <v>326</v>
      </c>
      <c r="B25" s="17" t="s">
        <v>315</v>
      </c>
      <c r="C25" s="21" t="s">
        <v>327</v>
      </c>
      <c r="D25" s="21"/>
    </row>
    <row r="26" spans="1:4">
      <c r="A26" s="23" t="s">
        <v>328</v>
      </c>
      <c r="B26" s="17" t="s">
        <v>315</v>
      </c>
      <c r="C26" s="21" t="s">
        <v>329</v>
      </c>
      <c r="D26" s="21"/>
    </row>
    <row r="27" spans="1:4">
      <c r="A27" s="23" t="s">
        <v>330</v>
      </c>
      <c r="B27" s="17" t="s">
        <v>315</v>
      </c>
      <c r="C27" s="21" t="s">
        <v>331</v>
      </c>
      <c r="D27" s="21" t="s">
        <v>332</v>
      </c>
    </row>
    <row r="28" spans="1:4">
      <c r="A28" s="23" t="s">
        <v>333</v>
      </c>
      <c r="B28" s="17" t="s">
        <v>315</v>
      </c>
      <c r="C28" s="21" t="s">
        <v>334</v>
      </c>
      <c r="D28" s="21"/>
    </row>
    <row r="29" spans="1:4">
      <c r="A29" s="23" t="s">
        <v>335</v>
      </c>
      <c r="B29" s="17" t="s">
        <v>315</v>
      </c>
      <c r="C29" s="21" t="s">
        <v>336</v>
      </c>
      <c r="D29" s="21"/>
    </row>
    <row r="30" spans="1:4">
      <c r="A30" s="23" t="s">
        <v>337</v>
      </c>
      <c r="B30" s="17" t="s">
        <v>315</v>
      </c>
      <c r="C30" s="21" t="s">
        <v>338</v>
      </c>
      <c r="D30" s="21"/>
    </row>
    <row r="31" spans="1:4">
      <c r="A31" s="23" t="s">
        <v>339</v>
      </c>
      <c r="B31" s="17" t="s">
        <v>315</v>
      </c>
      <c r="C31" s="21" t="s">
        <v>340</v>
      </c>
      <c r="D31" s="21" t="s">
        <v>341</v>
      </c>
    </row>
    <row r="32" spans="1:4">
      <c r="A32" s="23" t="s">
        <v>342</v>
      </c>
      <c r="B32" s="17" t="s">
        <v>315</v>
      </c>
      <c r="C32" s="21" t="s">
        <v>343</v>
      </c>
      <c r="D32" s="21"/>
    </row>
    <row r="33" spans="1:4">
      <c r="A33" s="23" t="s">
        <v>344</v>
      </c>
      <c r="B33" s="17" t="s">
        <v>315</v>
      </c>
      <c r="C33" s="21" t="s">
        <v>345</v>
      </c>
      <c r="D33" s="21"/>
    </row>
    <row r="34" spans="1:4">
      <c r="A34" s="23" t="s">
        <v>346</v>
      </c>
      <c r="B34" s="17" t="s">
        <v>315</v>
      </c>
      <c r="C34" s="21" t="s">
        <v>347</v>
      </c>
      <c r="D34" s="21"/>
    </row>
    <row r="35" spans="1:4">
      <c r="A35" s="23" t="s">
        <v>348</v>
      </c>
      <c r="B35" s="17" t="s">
        <v>315</v>
      </c>
      <c r="C35" s="21" t="s">
        <v>349</v>
      </c>
      <c r="D35" s="21"/>
    </row>
    <row r="36" spans="1:4">
      <c r="A36" s="23" t="s">
        <v>350</v>
      </c>
      <c r="B36" s="17" t="s">
        <v>315</v>
      </c>
      <c r="C36" s="21" t="s">
        <v>349</v>
      </c>
      <c r="D36" s="21"/>
    </row>
    <row r="37" spans="1:4">
      <c r="A37" s="23" t="s">
        <v>351</v>
      </c>
      <c r="B37" s="17" t="s">
        <v>315</v>
      </c>
      <c r="C37" s="21" t="s">
        <v>352</v>
      </c>
      <c r="D37" s="21" t="s">
        <v>353</v>
      </c>
    </row>
    <row r="38" spans="1:4">
      <c r="A38" s="23" t="s">
        <v>351</v>
      </c>
      <c r="B38" s="17" t="s">
        <v>354</v>
      </c>
      <c r="C38" s="21" t="s">
        <v>355</v>
      </c>
      <c r="D38" s="21"/>
    </row>
    <row r="39" spans="1:4">
      <c r="A39" s="23" t="s">
        <v>356</v>
      </c>
      <c r="B39" s="17" t="s">
        <v>315</v>
      </c>
      <c r="C39" s="21" t="s">
        <v>357</v>
      </c>
      <c r="D39" s="21"/>
    </row>
    <row r="40" spans="1:4">
      <c r="A40" s="23" t="s">
        <v>358</v>
      </c>
      <c r="B40" s="17" t="s">
        <v>354</v>
      </c>
      <c r="C40" s="21" t="s">
        <v>47</v>
      </c>
      <c r="D40" s="21"/>
    </row>
    <row r="41" spans="1:4">
      <c r="A41" s="23" t="s">
        <v>358</v>
      </c>
      <c r="B41" s="17" t="s">
        <v>354</v>
      </c>
      <c r="C41" s="21" t="s">
        <v>359</v>
      </c>
      <c r="D41" s="21"/>
    </row>
  </sheetData>
  <autoFilter ref="A1:D4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Summary</vt:lpstr>
      <vt:lpstr>Recommendation</vt:lpstr>
      <vt:lpstr>Chart data</vt:lpstr>
      <vt:lpstr>Charts</vt:lpstr>
      <vt:lpstr>The three strategies compared</vt:lpstr>
      <vt:lpstr>What happens to each tier under</vt:lpstr>
      <vt:lpstr>Quarter by quarter - best call</vt:lpstr>
      <vt:lpstr>How far the rival's undercut ca</vt:lpstr>
      <vt:lpstr>Assumptions</vt:lpstr>
      <vt:lpstr>Run log</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2026-09-21T15:29:27Z</dcterms:created>
  <dcterms:modified xsi:type="dcterms:W3CDTF">2026-09-21T15:29:27Z</dcterms:modified>
</cp:coreProperties>
</file>