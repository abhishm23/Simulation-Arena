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commendation" sheetId="2" r:id="rId2"/>
    <sheet name="Chart data" sheetId="3" r:id="rId3"/>
    <sheet name="Charts" sheetId="4" r:id="rId4"/>
    <sheet name="Quarter by quarter where the de" sheetId="5" r:id="rId5"/>
    <sheet name="The money, weighted by the odds" sheetId="6" r:id="rId6"/>
    <sheet name="What sitting still costs you" sheetId="7" r:id="rId7"/>
    <sheet name="How long your past deals actual" sheetId="8" r:id="rId8"/>
    <sheet name="Assumptions" sheetId="9" r:id="rId9"/>
    <sheet name="Run log" sheetId="10" r:id="rId10"/>
  </sheets>
  <definedNames>
    <definedName name="_xlnm._FilterDatabase" localSheetId="7" hidden="1">'How long your past deals actual'!$A$4:$G$29</definedName>
    <definedName name="_xlnm._FilterDatabase" localSheetId="4" hidden="1">'Quarter by quarter where the de'!$A$4:$G$10</definedName>
    <definedName name="_xlnm._FilterDatabase" localSheetId="9" hidden="1">'Run log'!$A$1:$D$29</definedName>
    <definedName name="_xlnm._FilterDatabase" localSheetId="5" hidden="1">'The money, weighted by the odds'!$A$4:$G$10</definedName>
    <definedName name="_xlnm._FilterDatabase" localSheetId="6" hidden="1">'What sitting still costs you'!$A$4:$C$8</definedName>
  </definedNames>
  <calcPr calcId="124519" fullCalcOnLoad="1"/>
</workbook>
</file>

<file path=xl/sharedStrings.xml><?xml version="1.0" encoding="utf-8"?>
<sst xmlns="http://schemas.openxmlformats.org/spreadsheetml/2006/main" count="547" uniqueCount="308">
  <si>
    <t>Simulation Arena</t>
  </si>
  <si>
    <t>Deal Aging &amp; Multi-Quarter Sales Cycles: The Pipeline Hopper</t>
  </si>
  <si>
    <t>Sales says quarter 2; the odds from your history are 3.0% for closing then - 46.8% of the value slips past that date, and 43.4% never closes at all. Plan on $295k of this $3.00M deal, not the full amount. That is after allowing for this deal having sat 6 quarters - a deal that had just arrived would be at 2.9%.</t>
  </si>
  <si>
    <t>What we did</t>
  </si>
  <si>
    <t>Every deal on your board hops from stage to stage. We counted how your own deals actually hopped - forward, staying put for a quarter, or dying - and turned those counts into odds. We also account for how long a deal has been sitting still: the older it gets, the more likely it is to slip or die, so a deal that has been parked for a year is priced differently from one that has just arrived. Then we rolled the odds forward one quarter at a time, which gives the chance of the deal being anywhere on the board in each future quarter. Money is then weighted by those odds: if there is a 1-in-8 chance of closing next quarter, only an eighth of the value deserves to be in next quarter's plan.</t>
  </si>
  <si>
    <t>Seed</t>
  </si>
  <si>
    <t>Run id</t>
  </si>
  <si>
    <t>run_78d0d244d1ca</t>
  </si>
  <si>
    <t>Generated</t>
  </si>
  <si>
    <t>21 Sep 2026 23:38</t>
  </si>
  <si>
    <t>Scenarios tested</t>
  </si>
  <si>
    <t>1,991</t>
  </si>
  <si>
    <t>Method</t>
  </si>
  <si>
    <t>Markov chain on your own stage-to-stage history, with deal aging</t>
  </si>
  <si>
    <t>Reproducible</t>
  </si>
  <si>
    <t>Same seed gives the same numbers</t>
  </si>
  <si>
    <t>The numbers that matter</t>
  </si>
  <si>
    <t>Number</t>
  </si>
  <si>
    <t>Value</t>
  </si>
  <si>
    <t>What it means</t>
  </si>
  <si>
    <t>Compared with</t>
  </si>
  <si>
    <t>Chance it closes in Q2, as sales promised</t>
  </si>
  <si>
    <t>3.0%</t>
  </si>
  <si>
    <t>A slim chance the money actually lands in the quarter it was promised for.</t>
  </si>
  <si>
    <t>if we ignored how long it has been sitting: 2.9%</t>
  </si>
  <si>
    <t>Chance it slips past that quarter</t>
  </si>
  <si>
    <t>46.8%</t>
  </si>
  <si>
    <t>The chance the deal does close, but later than the date sales promised.</t>
  </si>
  <si>
    <t>-</t>
  </si>
  <si>
    <t>Chance it dies instead</t>
  </si>
  <si>
    <t>43.4%</t>
  </si>
  <si>
    <t>The deal never closes - it stalls or the customer walks.</t>
  </si>
  <si>
    <t>7.7% still stuck in Legal at the end of the horizon</t>
  </si>
  <si>
    <t>What you can bank on by Q2</t>
  </si>
  <si>
    <t>$295k</t>
  </si>
  <si>
    <t>The deal value weighted by its real chance of arriving - 9.8% of $3.00M.</t>
  </si>
  <si>
    <t>Cash committed against odds</t>
  </si>
  <si>
    <t>$2.70M</t>
  </si>
  <si>
    <t>You are planning to spend $2.70M that has only a 9.8% chance of arriving.</t>
  </si>
  <si>
    <t>$3.00M promised vs $295k realistic</t>
  </si>
  <si>
    <t>Quarters until it really closes</t>
  </si>
  <si>
    <t>5.7</t>
  </si>
  <si>
    <t>On average, counted from today, for the deals that do close (5.6 quarters to a final yes or no).</t>
  </si>
  <si>
    <t>sales promised 2</t>
  </si>
  <si>
    <t>How long this deal has been sitting</t>
  </si>
  <si>
    <t>6 quarters</t>
  </si>
  <si>
    <t>The older a deal gets, the more likely it is to slip or die - we have priced that in.</t>
  </si>
  <si>
    <t>we treat it as stale after 4 quarters</t>
  </si>
  <si>
    <t>Recommendation</t>
  </si>
  <si>
    <t>Do not book $3.00M for Q2. Book $295k and hold the rest back.</t>
  </si>
  <si>
    <t>Risk</t>
  </si>
  <si>
    <t>High</t>
  </si>
  <si>
    <t>Risk score</t>
  </si>
  <si>
    <t>100 out of 100</t>
  </si>
  <si>
    <t>Confidence</t>
  </si>
  <si>
    <t>Why</t>
  </si>
  <si>
    <t>1.</t>
  </si>
  <si>
    <t>The chance of closing in Q2 is 3.0%, not 100%.</t>
  </si>
  <si>
    <t>2.</t>
  </si>
  <si>
    <t>46.8% of the value arrives later than promised. and 43.4% never arrives at all.</t>
  </si>
  <si>
    <t>3.</t>
  </si>
  <si>
    <t>Planning on the full $3.00M commits $2.70M of cash against a 9.8% chance.</t>
  </si>
  <si>
    <t>4.</t>
  </si>
  <si>
    <t>The deal has been running 6 quarters; at that age a deal is judged 2.9% likely to close by Q2 if it were fresh, so sitting still is costing real odds.</t>
  </si>
  <si>
    <t>What to do</t>
  </si>
  <si>
    <t>Action 1</t>
  </si>
  <si>
    <t>Put $295k in the Q2 plan and treat the remaining $2.70M as contingent on the deal actually reaching the next stage.</t>
  </si>
  <si>
    <t>Action 2</t>
  </si>
  <si>
    <t>Attach a stage gate to any hiring, inventory or spend that depends on this deal.</t>
  </si>
  <si>
    <t>Action 3</t>
  </si>
  <si>
    <t>Re-forecast the whole open pipeline the same way, not just this deal - the same optimism is almost certainly in the rest of the board.</t>
  </si>
  <si>
    <t>Action 4</t>
  </si>
  <si>
    <t>Ask sales to forecast with odds attached, not dates.</t>
  </si>
  <si>
    <t>Trade-off</t>
  </si>
  <si>
    <t>Booking less now means a smaller number in this quarter's plan - but it avoids the mid-year freeze that follows a promise that does not arrive.</t>
  </si>
  <si>
    <t>Charts</t>
  </si>
  <si>
    <t>Where the deal actually is, quarter by quarter</t>
  </si>
  <si>
    <t>Q1</t>
  </si>
  <si>
    <t>Q2</t>
  </si>
  <si>
    <t>Q3</t>
  </si>
  <si>
    <t>Q4</t>
  </si>
  <si>
    <t>Q5</t>
  </si>
  <si>
    <t>Q6</t>
  </si>
  <si>
    <t>Initial RFP</t>
  </si>
  <si>
    <t>Technical Review</t>
  </si>
  <si>
    <t>CF Approval</t>
  </si>
  <si>
    <t>Legal</t>
  </si>
  <si>
    <t>Closed Won</t>
  </si>
  <si>
    <t>Dead</t>
  </si>
  <si>
    <t>Read the green band: that is the chance the deal is already closed by each quarter. The grey blocks are the stages it is still sitting in.</t>
  </si>
  <si>
    <t>When it actually closes vs when sales said</t>
  </si>
  <si>
    <t>Chance of closing</t>
  </si>
  <si>
    <t>If we ignored how long it has been sitting</t>
  </si>
  <si>
    <t>The tall bar is the quarter the deal is most likely to close in. It is almost never the quarter on the forecast.</t>
  </si>
  <si>
    <t>Money you can actually plan on</t>
  </si>
  <si>
    <t>Weighted by the real odds</t>
  </si>
  <si>
    <t>What sales promised</t>
  </si>
  <si>
    <t>The gap between the green line and the red line is cash you would be committing before it has arrived.</t>
  </si>
  <si>
    <t>Quarter by quarter: where the deal is</t>
  </si>
  <si>
    <t>The chance of the deal sitting in each stage at the end of every quarter.</t>
  </si>
  <si>
    <t>Quarter</t>
  </si>
  <si>
    <t>42.8%</t>
  </si>
  <si>
    <t>50.2%</t>
  </si>
  <si>
    <t>0.068%</t>
  </si>
  <si>
    <t>6.8%</t>
  </si>
  <si>
    <t>0.082%</t>
  </si>
  <si>
    <t>18.4%</t>
  </si>
  <si>
    <t>39.6%</t>
  </si>
  <si>
    <t>26.8%</t>
  </si>
  <si>
    <t>0.14%</t>
  </si>
  <si>
    <t>9.8%</t>
  </si>
  <si>
    <t>5.3%</t>
  </si>
  <si>
    <t>8.0%</t>
  </si>
  <si>
    <t>23.6%</t>
  </si>
  <si>
    <t>21.2%</t>
  </si>
  <si>
    <t>23.1%</t>
  </si>
  <si>
    <t>11.3%</t>
  </si>
  <si>
    <t>12.9%</t>
  </si>
  <si>
    <t>3.5%</t>
  </si>
  <si>
    <t>12.6%</t>
  </si>
  <si>
    <t>12.7%</t>
  </si>
  <si>
    <t>21.4%</t>
  </si>
  <si>
    <t>25.7%</t>
  </si>
  <si>
    <t>24.1%</t>
  </si>
  <si>
    <t>1.6%</t>
  </si>
  <si>
    <t>6.4%</t>
  </si>
  <si>
    <t>13.8%</t>
  </si>
  <si>
    <t>38.8%</t>
  </si>
  <si>
    <t>32.6%</t>
  </si>
  <si>
    <t>0.72%</t>
  </si>
  <si>
    <t>3.1%</t>
  </si>
  <si>
    <t>3.4%</t>
  </si>
  <si>
    <t>7.7%</t>
  </si>
  <si>
    <t>47.2%</t>
  </si>
  <si>
    <t>37.8%</t>
  </si>
  <si>
    <t>Read the 'Closed Won' column to see how the chance of closing builds up.</t>
  </si>
  <si>
    <t>The money, weighted by the odds</t>
  </si>
  <si>
    <t>What this deal is really worth to each quarter's plan.</t>
  </si>
  <si>
    <t>Chance of closing then</t>
  </si>
  <si>
    <t>Value earned that quarter</t>
  </si>
  <si>
    <t>Value banked by then</t>
  </si>
  <si>
    <t>Chance closed by then</t>
  </si>
  <si>
    <t>Chance dead by then</t>
  </si>
  <si>
    <t>Still not banked</t>
  </si>
  <si>
    <t>$205k</t>
  </si>
  <si>
    <t>$2.79M</t>
  </si>
  <si>
    <t>$90k</t>
  </si>
  <si>
    <t>1.4%</t>
  </si>
  <si>
    <t>$43k</t>
  </si>
  <si>
    <t>$338k</t>
  </si>
  <si>
    <t>$2.66M</t>
  </si>
  <si>
    <t>14.4%</t>
  </si>
  <si>
    <t>$432k</t>
  </si>
  <si>
    <t>$770k</t>
  </si>
  <si>
    <t>$2.23M</t>
  </si>
  <si>
    <t>13.1%</t>
  </si>
  <si>
    <t>$392k</t>
  </si>
  <si>
    <t>$1.16M</t>
  </si>
  <si>
    <t>$1.84M</t>
  </si>
  <si>
    <t>8.4%</t>
  </si>
  <si>
    <t>$252k</t>
  </si>
  <si>
    <t>$1.41M</t>
  </si>
  <si>
    <t>$1.59M</t>
  </si>
  <si>
    <t>Row 2 is the quarter sales promised.</t>
  </si>
  <si>
    <t>What sitting still costs you</t>
  </si>
  <si>
    <t>The same deal judged at three ages, plus the age we actually used for it.</t>
  </si>
  <si>
    <t>How long it has been sitting</t>
  </si>
  <si>
    <t>Chance it closes by Q2</t>
  </si>
  <si>
    <t>Chance it never closes</t>
  </si>
  <si>
    <t>Fresh (under 2 quarters)</t>
  </si>
  <si>
    <t>38.5%</t>
  </si>
  <si>
    <t>Settled (2-4 quarters)</t>
  </si>
  <si>
    <t>1.5%</t>
  </si>
  <si>
    <t>58.7%</t>
  </si>
  <si>
    <t>Stale (over 4 quarters)</t>
  </si>
  <si>
    <t>9.4%</t>
  </si>
  <si>
    <t>47.3%</t>
  </si>
  <si>
    <t>This deal (6 quarters)</t>
  </si>
  <si>
    <t>The older a deal is, the lower it sits. The highlighted row is the age we used for the forecast above.</t>
  </si>
  <si>
    <t>How long your past deals actually took (top 25 by value)</t>
  </si>
  <si>
    <t>Every deal in the file has finished, so this is the ageing evidence instead: how many quarters each deal really needed.</t>
  </si>
  <si>
    <t>Deal</t>
  </si>
  <si>
    <t>Entered</t>
  </si>
  <si>
    <t>Ended in</t>
  </si>
  <si>
    <t>Quarters taken</t>
  </si>
  <si>
    <t>Stage visits</t>
  </si>
  <si>
    <t>Outcome</t>
  </si>
  <si>
    <t>P-0406</t>
  </si>
  <si>
    <t>$1.67M</t>
  </si>
  <si>
    <t>2025-Q2</t>
  </si>
  <si>
    <t>5</t>
  </si>
  <si>
    <t>Lost</t>
  </si>
  <si>
    <t>P-0198</t>
  </si>
  <si>
    <t>$1.63M</t>
  </si>
  <si>
    <t>2024-Q2</t>
  </si>
  <si>
    <t>7</t>
  </si>
  <si>
    <t>Won</t>
  </si>
  <si>
    <t>P-0285</t>
  </si>
  <si>
    <t>$1.55M</t>
  </si>
  <si>
    <t>2025-Q1</t>
  </si>
  <si>
    <t>P-0295</t>
  </si>
  <si>
    <t>$1.52M</t>
  </si>
  <si>
    <t>6</t>
  </si>
  <si>
    <t>P-0227</t>
  </si>
  <si>
    <t>$1.35M</t>
  </si>
  <si>
    <t>P-0040</t>
  </si>
  <si>
    <t>$1.22M</t>
  </si>
  <si>
    <t>2024-Q4</t>
  </si>
  <si>
    <t>P-0017</t>
  </si>
  <si>
    <t>$1.12M</t>
  </si>
  <si>
    <t>P-0351</t>
  </si>
  <si>
    <t>$1.10M</t>
  </si>
  <si>
    <t>2024-Q3</t>
  </si>
  <si>
    <t>4</t>
  </si>
  <si>
    <t>P-0178</t>
  </si>
  <si>
    <t>$1.07M</t>
  </si>
  <si>
    <t>2</t>
  </si>
  <si>
    <t>P-0044</t>
  </si>
  <si>
    <t>P-0027</t>
  </si>
  <si>
    <t>$1.06M</t>
  </si>
  <si>
    <t>P-0193</t>
  </si>
  <si>
    <t>$1.00M</t>
  </si>
  <si>
    <t>P-0327</t>
  </si>
  <si>
    <t>P-0154</t>
  </si>
  <si>
    <t>$969k</t>
  </si>
  <si>
    <t>P-0388</t>
  </si>
  <si>
    <t>$964k</t>
  </si>
  <si>
    <t>P-0402</t>
  </si>
  <si>
    <t>2024-Q1</t>
  </si>
  <si>
    <t>P-0016</t>
  </si>
  <si>
    <t>$929k</t>
  </si>
  <si>
    <t>P-0276</t>
  </si>
  <si>
    <t>$895k</t>
  </si>
  <si>
    <t>P-0166</t>
  </si>
  <si>
    <t>$847k</t>
  </si>
  <si>
    <t>P-0364</t>
  </si>
  <si>
    <t>$826k</t>
  </si>
  <si>
    <t>P-0199</t>
  </si>
  <si>
    <t>$813k</t>
  </si>
  <si>
    <t>P-0239</t>
  </si>
  <si>
    <t>$805k</t>
  </si>
  <si>
    <t>P-0302</t>
  </si>
  <si>
    <t>$796k</t>
  </si>
  <si>
    <t>P-0038</t>
  </si>
  <si>
    <t>$795k</t>
  </si>
  <si>
    <t>P-0384</t>
  </si>
  <si>
    <t>$793k</t>
  </si>
  <si>
    <t>Compare 'quarters taken' with the quarter sales usually promises.</t>
  </si>
  <si>
    <t>Assumptions and caveats</t>
  </si>
  <si>
    <t>Watch</t>
  </si>
  <si>
    <t>!</t>
  </si>
  <si>
    <t>Sales says Q2; the model says 3.0%. Committing the full $3.00M on that date is the single biggest risk in this plan.</t>
  </si>
  <si>
    <t>43.4% of deals at this stage never close at all - they are not 'slipping', they are gone. Treat that part of the pipeline as zero.</t>
  </si>
  <si>
    <t>This deal has been sitting 6 quarters - past the 4-quarter mark where we start treating a deal as stale. Its chance of closing is 3.0% rather than 2.9% for a fresh deal.</t>
  </si>
  <si>
    <t>Assumed</t>
  </si>
  <si>
    <t>Learned how deals hop between stages from 1,991 real stage moves (the quarter column told us what happened first). Paths nobody has taken yet are given a small benefit of the doubt rather than a flat zero chance.</t>
  </si>
  <si>
    <t>A deal that is won or dead stays that way - we force those stages to be final even if the history is messy.</t>
  </si>
  <si>
    <t>We priced how long deals sit still: past 4 quarters a deal gets progressively more likely to slip or die, up to a cap of 90.0% extra risk. The deal being forecast is treated as 6 quarters old.</t>
  </si>
  <si>
    <t>Deal value $3,000,000, starting in 'Initial RFP', 6 quarters ahead, fiscal year = 4 quarters.</t>
  </si>
  <si>
    <t>Each quarter a deal moves at most one stage forward; it may sit still or die. Deal size does not change the odds.</t>
  </si>
  <si>
    <t>Stage behaviour is assumed stable: the pattern in your history continues.</t>
  </si>
  <si>
    <t>Columns of your file we actually used: deal_id, stage, stage_order, quarter, amount, entered_quarter.</t>
  </si>
  <si>
    <t>Deal / opportunity ID -&gt; your 'deal_id' column</t>
  </si>
  <si>
    <t>Pipeline stage -&gt; your 'stage' column</t>
  </si>
  <si>
    <t>Stage order (1,2,3...) -&gt; your 'stage_order' column</t>
  </si>
  <si>
    <t>Quarter of this sighting -&gt; your 'quarter' column</t>
  </si>
  <si>
    <t>Deal value -&gt; your 'amount' column</t>
  </si>
  <si>
    <t>Quarter the deal entered -&gt; your 'entered_quarter' column</t>
  </si>
  <si>
    <t>How long the deal has been sitting (quarters) -&gt; not in your file; not used</t>
  </si>
  <si>
    <t>How long it has been sitting (days) -&gt; not in your file; not used</t>
  </si>
  <si>
    <t>Time</t>
  </si>
  <si>
    <t>Phase</t>
  </si>
  <si>
    <t>What happened</t>
  </si>
  <si>
    <t>Technical detail</t>
  </si>
  <si>
    <t>0.00s</t>
  </si>
  <si>
    <t>prepare</t>
  </si>
  <si>
    <t>Opening your file…</t>
  </si>
  <si>
    <t>Found 2,411 rows and 6 columns.</t>
  </si>
  <si>
    <t>source: pipeline_stages.csv</t>
  </si>
  <si>
    <t>You chose 'deal_id' for 'Deal / opportunity ID'.</t>
  </si>
  <si>
    <t>You chose 'stage' for 'Pipeline stage'.</t>
  </si>
  <si>
    <t>You chose 'stage_order' for 'Stage order (1,2,3...)'.</t>
  </si>
  <si>
    <t>You chose 'quarter' for 'Quarter of this sighting'.</t>
  </si>
  <si>
    <t>You chose 'amount' for 'Deal value'.</t>
  </si>
  <si>
    <t>You chose 'entered_quarter' for 'Quarter the deal entered'.</t>
  </si>
  <si>
    <t>We could not find a 'How long the deal has been sitting (quarters)' column. We left it out and will work without it.</t>
  </si>
  <si>
    <t>We could not find a 'How long it has been sitting (days)' column. We left it out and will work without it.</t>
  </si>
  <si>
    <t>mapping used</t>
  </si>
  <si>
    <t>0.02s</t>
  </si>
  <si>
    <t>Read 2,411 records into the model.</t>
  </si>
  <si>
    <t>simulate</t>
  </si>
  <si>
    <t>Running the simulation…</t>
  </si>
  <si>
    <t>read</t>
  </si>
  <si>
    <t>Reading how your deals have moved through the pipeline...</t>
  </si>
  <si>
    <t>0.03s</t>
  </si>
  <si>
    <t>Laid the stages out in the order you gave us.</t>
  </si>
  <si>
    <t>Initial RFP -&gt; Technical Review -&gt; CF Approval -&gt; Legal -&gt; Closed Won -&gt; Dead</t>
  </si>
  <si>
    <t>Learned the hop pattern from 1,991 real stage moves across 420 deals.</t>
  </si>
  <si>
    <t>6 stages, endings: ['Closed Won', 'Dead']</t>
  </si>
  <si>
    <t>Deals that sit still get riskier: this one has been going 6 quarters, so we priced it against the stale-deal pattern.</t>
  </si>
  <si>
    <t>semi-Markov: age=6.0q, stale=4q, bucket=stale (509 learned moves), boost cap=0.9</t>
  </si>
  <si>
    <t>Rolling the odds forward 6 quarters from 'Initial RFP'...</t>
  </si>
  <si>
    <t>summarize</t>
  </si>
  <si>
    <t>Sales says quarter 2. The odds from your history are 3.0% for closing in that quarter.</t>
  </si>
  <si>
    <t>0.04s</t>
  </si>
  <si>
    <t>Every deal in this file has already finished, so there is no open pipeline left to re-price - here is how long your past deals actually took instead.</t>
  </si>
  <si>
    <t>0.05s</t>
  </si>
  <si>
    <t>Done. Plan on $295k of $3.00M for Q2, not the full amount.</t>
  </si>
</sst>
</file>

<file path=xl/styles.xml><?xml version="1.0" encoding="utf-8"?>
<styleSheet xmlns="http://schemas.openxmlformats.org/spreadsheetml/2006/main">
  <numFmts count="1">
    <numFmt numFmtId="164" formatCode="#,##0"/>
  </numFmts>
  <fonts count="13">
    <font>
      <sz val="11"/>
      <color theme="1"/>
      <name val="Calibri"/>
      <family val="2"/>
      <scheme val="minor"/>
    </font>
    <font>
      <b/>
      <sz val="11"/>
      <color rgb="FF22C55E"/>
      <name val="Calibri"/>
      <family val="2"/>
      <scheme val="minor"/>
    </font>
    <font>
      <b/>
      <sz val="18"/>
      <color rgb="FF0F172A"/>
      <name val="Calibri"/>
      <family val="2"/>
      <scheme val="minor"/>
    </font>
    <font>
      <sz val="11"/>
      <color rgb="FF0F172A"/>
      <name val="Calibri"/>
      <family val="2"/>
      <scheme val="minor"/>
    </font>
    <font>
      <b/>
      <sz val="13"/>
      <color rgb="FF0F172A"/>
      <name val="Calibri"/>
      <family val="2"/>
      <scheme val="minor"/>
    </font>
    <font>
      <b/>
      <sz val="11"/>
      <color rgb="FF3341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rgb="FF475569"/>
      <name val="Calibri"/>
      <family val="2"/>
      <scheme val="minor"/>
    </font>
    <font>
      <i/>
      <sz val="11"/>
      <color rgb="FF64748B"/>
      <name val="Calibri"/>
      <family val="2"/>
      <scheme val="minor"/>
    </font>
    <font>
      <sz val="11"/>
      <color rgb="FF78350F"/>
      <name val="Calibri"/>
      <family val="2"/>
      <scheme val="minor"/>
    </font>
    <font>
      <sz val="11"/>
      <color rgb="FF47556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DCFCE7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  <border>
      <left style="thin">
        <color rgb="FFFDE68A"/>
      </left>
      <right style="thin">
        <color rgb="FFFDE68A"/>
      </right>
      <top style="thin">
        <color rgb="FFFDE68A"/>
      </top>
      <bottom style="thin">
        <color rgb="FFFDE68A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1" xfId="0" applyFont="1" applyBorder="1"/>
    <xf numFmtId="0" fontId="0" fillId="0" borderId="0" xfId="0" applyAlignment="1">
      <alignment vertical="top" wrapText="1"/>
    </xf>
    <xf numFmtId="0" fontId="5" fillId="0" borderId="0" xfId="0" applyFont="1" applyAlignment="1">
      <alignment vertical="top"/>
    </xf>
    <xf numFmtId="164" fontId="0" fillId="0" borderId="2" xfId="0" applyNumberFormat="1" applyBorder="1"/>
    <xf numFmtId="0" fontId="6" fillId="2" borderId="3" xfId="0" applyFont="1" applyFill="1" applyBorder="1" applyAlignment="1">
      <alignment vertical="center" wrapText="1"/>
    </xf>
    <xf numFmtId="0" fontId="0" fillId="3" borderId="2" xfId="0" applyFill="1" applyBorder="1" applyAlignment="1">
      <alignment vertical="top" wrapText="1"/>
    </xf>
    <xf numFmtId="0" fontId="7" fillId="3" borderId="2" xfId="0" applyFont="1" applyFill="1" applyBorder="1" applyAlignment="1">
      <alignment vertical="top"/>
    </xf>
    <xf numFmtId="0" fontId="0" fillId="4" borderId="2" xfId="0" applyFill="1" applyBorder="1" applyAlignment="1">
      <alignment vertical="top" wrapText="1"/>
    </xf>
    <xf numFmtId="0" fontId="7" fillId="4" borderId="2" xfId="0" applyFont="1" applyFill="1" applyBorder="1" applyAlignment="1">
      <alignment vertical="top"/>
    </xf>
    <xf numFmtId="0" fontId="0" fillId="5" borderId="2" xfId="0" applyFill="1" applyBorder="1" applyAlignment="1">
      <alignment vertical="top" wrapText="1"/>
    </xf>
    <xf numFmtId="0" fontId="7" fillId="5" borderId="2" xfId="0" applyFont="1" applyFill="1" applyBorder="1" applyAlignment="1">
      <alignment vertical="top"/>
    </xf>
    <xf numFmtId="0" fontId="0" fillId="0" borderId="2" xfId="0" applyBorder="1" applyAlignment="1">
      <alignment vertical="top"/>
    </xf>
    <xf numFmtId="0" fontId="8" fillId="0" borderId="0" xfId="0" applyFont="1"/>
    <xf numFmtId="0" fontId="9" fillId="0" borderId="0" xfId="0" applyFont="1" applyAlignment="1">
      <alignment wrapText="1"/>
    </xf>
    <xf numFmtId="0" fontId="10" fillId="0" borderId="0" xfId="0" applyFont="1"/>
    <xf numFmtId="0" fontId="7" fillId="6" borderId="2" xfId="0" applyFont="1" applyFill="1" applyBorder="1" applyAlignment="1">
      <alignment vertical="top"/>
    </xf>
    <xf numFmtId="0" fontId="11" fillId="4" borderId="4" xfId="0" applyFont="1" applyFill="1" applyBorder="1" applyAlignment="1">
      <alignment vertical="top" wrapText="1"/>
    </xf>
    <xf numFmtId="0" fontId="12" fillId="0" borderId="2" xfId="0" applyFont="1" applyBorder="1"/>
    <xf numFmtId="0" fontId="0" fillId="0" borderId="2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Where the deal actually is, quarter by quarter</a:t>
            </a:r>
          </a:p>
        </c:rich>
      </c:tx>
      <c:layout/>
    </c:title>
    <c:plotArea>
      <c:layout/>
      <c:areaChart>
        <c:grouping val="stacked"/>
        <c:ser>
          <c:idx val="0"/>
          <c:order val="0"/>
          <c:tx>
            <c:strRef>
              <c:f>'Chart data'!$B$1</c:f>
              <c:strCache>
                <c:ptCount val="1"/>
                <c:pt idx="0">
                  <c:v>Initial RFP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data'!$B$2:$B$7</c:f>
              <c:numCache>
                <c:formatCode>General</c:formatCode>
                <c:ptCount val="6"/>
                <c:pt idx="0">
                  <c:v>100</c:v>
                </c:pt>
                <c:pt idx="1">
                  <c:v>42.79</c:v>
                </c:pt>
                <c:pt idx="2">
                  <c:v>18.35</c:v>
                </c:pt>
                <c:pt idx="3">
                  <c:v>7.95</c:v>
                </c:pt>
                <c:pt idx="4">
                  <c:v>3.51</c:v>
                </c:pt>
                <c:pt idx="5">
                  <c:v>1.57</c:v>
                </c:pt>
              </c:numCache>
            </c:numRef>
          </c:val>
        </c:ser>
        <c:ser>
          <c:idx val="1"/>
          <c:order val="1"/>
          <c:tx>
            <c:strRef>
              <c:f>'Chart data'!$C$1</c:f>
              <c:strCache>
                <c:ptCount val="1"/>
                <c:pt idx="0">
                  <c:v>Technical Review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data'!$C$2:$C$7</c:f>
              <c:numCache>
                <c:formatCode>General</c:formatCode>
                <c:ptCount val="6"/>
                <c:pt idx="0">
                  <c:v>0</c:v>
                </c:pt>
                <c:pt idx="1">
                  <c:v>50.15</c:v>
                </c:pt>
                <c:pt idx="2">
                  <c:v>39.61</c:v>
                </c:pt>
                <c:pt idx="3">
                  <c:v>23.6</c:v>
                </c:pt>
                <c:pt idx="4">
                  <c:v>12.61</c:v>
                </c:pt>
                <c:pt idx="5">
                  <c:v>6.38</c:v>
                </c:pt>
              </c:numCache>
            </c:numRef>
          </c:val>
        </c:ser>
        <c:ser>
          <c:idx val="2"/>
          <c:order val="2"/>
          <c:tx>
            <c:strRef>
              <c:f>'Chart data'!$D$1</c:f>
              <c:strCache>
                <c:ptCount val="1"/>
                <c:pt idx="0">
                  <c:v>CF Approval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data'!$D$2:$D$7</c:f>
              <c:numCache>
                <c:formatCode>General</c:formatCode>
                <c:ptCount val="6"/>
                <c:pt idx="0">
                  <c:v>0</c:v>
                </c:pt>
                <c:pt idx="1">
                  <c:v>0.07000000000000001</c:v>
                </c:pt>
                <c:pt idx="2">
                  <c:v>26.78</c:v>
                </c:pt>
                <c:pt idx="3">
                  <c:v>21.21</c:v>
                </c:pt>
                <c:pt idx="4">
                  <c:v>12.68</c:v>
                </c:pt>
                <c:pt idx="5">
                  <c:v>6.79</c:v>
                </c:pt>
              </c:numCache>
            </c:numRef>
          </c:val>
        </c:ser>
        <c:ser>
          <c:idx val="3"/>
          <c:order val="3"/>
          <c:tx>
            <c:strRef>
              <c:f>'Chart data'!$E$1</c:f>
              <c:strCache>
                <c:ptCount val="1"/>
                <c:pt idx="0">
                  <c:v>Legal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data'!$E$2:$E$7</c:f>
              <c:numCache>
                <c:formatCode>General</c:formatCode>
                <c:ptCount val="6"/>
                <c:pt idx="0">
                  <c:v>0</c:v>
                </c:pt>
                <c:pt idx="1">
                  <c:v>0.07000000000000001</c:v>
                </c:pt>
                <c:pt idx="2">
                  <c:v>0.14</c:v>
                </c:pt>
                <c:pt idx="3">
                  <c:v>23.08</c:v>
                </c:pt>
                <c:pt idx="4">
                  <c:v>21.41</c:v>
                </c:pt>
                <c:pt idx="5">
                  <c:v>13.84</c:v>
                </c:pt>
              </c:numCache>
            </c:numRef>
          </c:val>
        </c:ser>
        <c:ser>
          <c:idx val="4"/>
          <c:order val="4"/>
          <c:tx>
            <c:strRef>
              <c:f>'Chart data'!$F$1</c:f>
              <c:strCache>
                <c:ptCount val="1"/>
                <c:pt idx="0">
                  <c:v>Closed Won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data'!$F$2:$F$7</c:f>
              <c:numCache>
                <c:formatCode>General</c:formatCode>
                <c:ptCount val="6"/>
                <c:pt idx="0">
                  <c:v>0</c:v>
                </c:pt>
                <c:pt idx="1">
                  <c:v>6.84</c:v>
                </c:pt>
                <c:pt idx="2">
                  <c:v>9.84</c:v>
                </c:pt>
                <c:pt idx="3">
                  <c:v>11.28</c:v>
                </c:pt>
                <c:pt idx="4">
                  <c:v>25.68</c:v>
                </c:pt>
                <c:pt idx="5">
                  <c:v>38.76</c:v>
                </c:pt>
              </c:numCache>
            </c:numRef>
          </c:val>
        </c:ser>
        <c:ser>
          <c:idx val="5"/>
          <c:order val="5"/>
          <c:tx>
            <c:strRef>
              <c:f>'Chart data'!$G$1</c:f>
              <c:strCache>
                <c:ptCount val="1"/>
                <c:pt idx="0">
                  <c:v>Dead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data'!$G$2:$G$7</c:f>
              <c:numCache>
                <c:formatCode>General</c:formatCode>
                <c:ptCount val="6"/>
                <c:pt idx="0">
                  <c:v>0</c:v>
                </c:pt>
                <c:pt idx="1">
                  <c:v>0.08</c:v>
                </c:pt>
                <c:pt idx="2">
                  <c:v>5.28</c:v>
                </c:pt>
                <c:pt idx="3">
                  <c:v>12.89</c:v>
                </c:pt>
                <c:pt idx="4">
                  <c:v>24.11</c:v>
                </c:pt>
                <c:pt idx="5">
                  <c:v>32.65</c:v>
                </c:pt>
              </c:numCache>
            </c:numRef>
          </c:val>
        </c:ser>
        <c:axId val="50010001"/>
        <c:axId val="50010002"/>
      </c:area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Quarter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Chance of being there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When it actually closes vs when sales said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data'!$J$1</c:f>
              <c:strCache>
                <c:ptCount val="1"/>
                <c:pt idx="0">
                  <c:v>Chance of closing</c:v>
                </c:pt>
              </c:strCache>
            </c:strRef>
          </c:tx>
          <c:cat>
            <c:strRef>
              <c:f>'Chart data'!$I$2:$I$7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data'!$J$2:$J$7</c:f>
              <c:numCache>
                <c:formatCode>General</c:formatCode>
                <c:ptCount val="6"/>
                <c:pt idx="0">
                  <c:v>6.84</c:v>
                </c:pt>
                <c:pt idx="1">
                  <c:v>3.01</c:v>
                </c:pt>
                <c:pt idx="2">
                  <c:v>1.43</c:v>
                </c:pt>
                <c:pt idx="3">
                  <c:v>14.41</c:v>
                </c:pt>
                <c:pt idx="4">
                  <c:v>13.08</c:v>
                </c:pt>
                <c:pt idx="5">
                  <c:v>8.4</c:v>
                </c:pt>
              </c:numCache>
            </c:numRef>
          </c:val>
        </c:ser>
        <c:ser>
          <c:idx val="1"/>
          <c:order val="1"/>
          <c:tx>
            <c:strRef>
              <c:f>'Chart data'!$K$1</c:f>
              <c:strCache>
                <c:ptCount val="1"/>
                <c:pt idx="0">
                  <c:v>If we ignored how long it has been sitting</c:v>
                </c:pt>
              </c:strCache>
            </c:strRef>
          </c:tx>
          <c:cat>
            <c:strRef>
              <c:f>'Chart data'!$I$2:$I$7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data'!$K$2:$K$7</c:f>
              <c:numCache>
                <c:formatCode>General</c:formatCode>
                <c:ptCount val="6"/>
                <c:pt idx="0">
                  <c:v>7.37</c:v>
                </c:pt>
                <c:pt idx="1">
                  <c:v>2.92</c:v>
                </c:pt>
                <c:pt idx="2">
                  <c:v>1.24</c:v>
                </c:pt>
                <c:pt idx="3">
                  <c:v>12.85</c:v>
                </c:pt>
                <c:pt idx="4">
                  <c:v>14</c:v>
                </c:pt>
                <c:pt idx="5">
                  <c:v>9.94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Quarter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Chance of closing in that quarter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Money you can actually plan on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'Chart data'!$N$1</c:f>
              <c:strCache>
                <c:ptCount val="1"/>
                <c:pt idx="0">
                  <c:v>Weighted by the real odds</c:v>
                </c:pt>
              </c:strCache>
            </c:strRef>
          </c:tx>
          <c:marker>
            <c:symbol val="none"/>
          </c:marker>
          <c:cat>
            <c:strRef>
              <c:f>'Chart data'!$M$2:$M$7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data'!$N$2:$N$7</c:f>
              <c:numCache>
                <c:formatCode>General</c:formatCode>
                <c:ptCount val="6"/>
                <c:pt idx="0">
                  <c:v>0.21</c:v>
                </c:pt>
                <c:pt idx="1">
                  <c:v>0.3</c:v>
                </c:pt>
                <c:pt idx="2">
                  <c:v>0.34</c:v>
                </c:pt>
                <c:pt idx="3">
                  <c:v>0.77</c:v>
                </c:pt>
                <c:pt idx="4">
                  <c:v>1.16</c:v>
                </c:pt>
                <c:pt idx="5">
                  <c:v>1.41</c:v>
                </c:pt>
              </c:numCache>
            </c:numRef>
          </c:val>
        </c:ser>
        <c:ser>
          <c:idx val="1"/>
          <c:order val="1"/>
          <c:tx>
            <c:strRef>
              <c:f>'Chart data'!$O$1</c:f>
              <c:strCache>
                <c:ptCount val="1"/>
                <c:pt idx="0">
                  <c:v>What sales promised</c:v>
                </c:pt>
              </c:strCache>
            </c:strRef>
          </c:tx>
          <c:marker>
            <c:symbol val="none"/>
          </c:marker>
          <c:cat>
            <c:strRef>
              <c:f>'Chart data'!$M$2:$M$7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data'!$O$2:$O$7</c:f>
              <c:numCache>
                <c:formatCode>General</c:formatCode>
                <c:ptCount val="6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Quarter</a:t>
                </a:r>
              </a:p>
            </c:rich>
          </c:tx>
          <c:layout/>
        </c:title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Value you can bank on ($M)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268224</xdr:colOff>
      <xdr:row>0</xdr:row>
      <xdr:rowOff>268224</xdr:rowOff>
    </xdr:to>
    <xdr:pic>
      <xdr:nvPicPr>
        <xdr:cNvPr id="2" name="Picture 1" descr="brand_mark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68224" cy="2682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12</xdr:col>
      <xdr:colOff>152400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26</xdr:row>
      <xdr:rowOff>0</xdr:rowOff>
    </xdr:from>
    <xdr:to>
      <xdr:col>12</xdr:col>
      <xdr:colOff>152400</xdr:colOff>
      <xdr:row>45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48</xdr:row>
      <xdr:rowOff>0</xdr:rowOff>
    </xdr:from>
    <xdr:to>
      <xdr:col>12</xdr:col>
      <xdr:colOff>152400</xdr:colOff>
      <xdr:row>67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3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26.7109375" customWidth="1"/>
    <col min="3" max="3" width="62.7109375" customWidth="1"/>
    <col min="4" max="4" width="26.7109375" customWidth="1"/>
  </cols>
  <sheetData>
    <row r="1" spans="1:4" ht="30" customHeight="1">
      <c r="B1" s="1" t="s">
        <v>0</v>
      </c>
    </row>
    <row r="2" spans="1:4">
      <c r="A2" s="2" t="s">
        <v>1</v>
      </c>
    </row>
    <row r="3" spans="1:4" ht="34" customHeight="1">
      <c r="A3" s="3" t="s">
        <v>2</v>
      </c>
    </row>
    <row r="5" spans="1:4">
      <c r="A5" s="4" t="s">
        <v>3</v>
      </c>
    </row>
    <row r="6" spans="1:4" ht="60" customHeight="1">
      <c r="A6" s="5" t="s">
        <v>4</v>
      </c>
      <c r="B6" s="5"/>
      <c r="C6" s="5"/>
      <c r="D6" s="5"/>
    </row>
    <row r="8" spans="1:4">
      <c r="A8" s="6" t="s">
        <v>5</v>
      </c>
      <c r="B8" s="7">
        <v>42</v>
      </c>
    </row>
    <row r="9" spans="1:4">
      <c r="A9" s="6" t="s">
        <v>6</v>
      </c>
      <c r="B9" s="3" t="s">
        <v>7</v>
      </c>
    </row>
    <row r="10" spans="1:4">
      <c r="A10" s="6" t="s">
        <v>8</v>
      </c>
      <c r="B10" s="3" t="s">
        <v>9</v>
      </c>
    </row>
    <row r="11" spans="1:4">
      <c r="A11" s="6" t="s">
        <v>10</v>
      </c>
      <c r="B11" s="3" t="s">
        <v>11</v>
      </c>
    </row>
    <row r="12" spans="1:4">
      <c r="A12" s="6" t="s">
        <v>12</v>
      </c>
      <c r="B12" s="3" t="s">
        <v>13</v>
      </c>
    </row>
    <row r="13" spans="1:4">
      <c r="A13" s="6" t="s">
        <v>14</v>
      </c>
      <c r="B13" s="3" t="s">
        <v>15</v>
      </c>
    </row>
    <row r="15" spans="1:4">
      <c r="A15" s="4" t="s">
        <v>16</v>
      </c>
    </row>
    <row r="16" spans="1:4" ht="22" customHeight="1">
      <c r="A16" s="8" t="s">
        <v>17</v>
      </c>
      <c r="B16" s="8" t="s">
        <v>18</v>
      </c>
      <c r="C16" s="8" t="s">
        <v>19</v>
      </c>
      <c r="D16" s="8" t="s">
        <v>20</v>
      </c>
    </row>
    <row r="17" spans="1:4">
      <c r="A17" s="9" t="s">
        <v>21</v>
      </c>
      <c r="B17" s="10" t="s">
        <v>22</v>
      </c>
      <c r="C17" s="9" t="s">
        <v>23</v>
      </c>
      <c r="D17" s="9" t="s">
        <v>24</v>
      </c>
    </row>
    <row r="18" spans="1:4">
      <c r="A18" s="11" t="s">
        <v>25</v>
      </c>
      <c r="B18" s="12" t="s">
        <v>26</v>
      </c>
      <c r="C18" s="11" t="s">
        <v>27</v>
      </c>
      <c r="D18" s="11" t="s">
        <v>28</v>
      </c>
    </row>
    <row r="19" spans="1:4">
      <c r="A19" s="9" t="s">
        <v>29</v>
      </c>
      <c r="B19" s="10" t="s">
        <v>30</v>
      </c>
      <c r="C19" s="9" t="s">
        <v>31</v>
      </c>
      <c r="D19" s="9" t="s">
        <v>32</v>
      </c>
    </row>
    <row r="20" spans="1:4">
      <c r="A20" s="11" t="s">
        <v>33</v>
      </c>
      <c r="B20" s="12" t="s">
        <v>34</v>
      </c>
      <c r="C20" s="11" t="s">
        <v>35</v>
      </c>
      <c r="D20" s="11" t="s">
        <v>28</v>
      </c>
    </row>
    <row r="21" spans="1:4">
      <c r="A21" s="9" t="s">
        <v>36</v>
      </c>
      <c r="B21" s="10" t="s">
        <v>37</v>
      </c>
      <c r="C21" s="9" t="s">
        <v>38</v>
      </c>
      <c r="D21" s="9" t="s">
        <v>39</v>
      </c>
    </row>
    <row r="22" spans="1:4">
      <c r="A22" s="13" t="s">
        <v>40</v>
      </c>
      <c r="B22" s="14" t="s">
        <v>41</v>
      </c>
      <c r="C22" s="13" t="s">
        <v>42</v>
      </c>
      <c r="D22" s="13" t="s">
        <v>43</v>
      </c>
    </row>
    <row r="23" spans="1:4">
      <c r="A23" s="13" t="s">
        <v>44</v>
      </c>
      <c r="B23" s="14" t="s">
        <v>45</v>
      </c>
      <c r="C23" s="13" t="s">
        <v>46</v>
      </c>
      <c r="D23" s="13" t="s">
        <v>47</v>
      </c>
    </row>
  </sheetData>
  <mergeCells count="1">
    <mergeCell ref="A6:D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1"/>
  <sheetViews>
    <sheetView showGridLines="0" workbookViewId="0"/>
  </sheetViews>
  <sheetFormatPr defaultRowHeight="15"/>
  <cols>
    <col min="1" max="1" width="22.7109375" customWidth="1"/>
    <col min="2" max="2" width="96.7109375" customWidth="1"/>
  </cols>
  <sheetData>
    <row r="1" spans="1:2">
      <c r="A1" s="2" t="s">
        <v>48</v>
      </c>
    </row>
    <row r="2" spans="1:2" ht="34" customHeight="1">
      <c r="A2" s="5" t="s">
        <v>49</v>
      </c>
      <c r="B2" s="5"/>
    </row>
    <row r="4" spans="1:2">
      <c r="A4" s="6" t="s">
        <v>50</v>
      </c>
      <c r="B4" s="3" t="s">
        <v>51</v>
      </c>
    </row>
    <row r="5" spans="1:2">
      <c r="A5" s="6" t="s">
        <v>52</v>
      </c>
      <c r="B5" s="3" t="s">
        <v>53</v>
      </c>
    </row>
    <row r="6" spans="1:2">
      <c r="A6" s="6" t="s">
        <v>54</v>
      </c>
      <c r="B6" s="3" t="s">
        <v>51</v>
      </c>
    </row>
    <row r="8" spans="1:2">
      <c r="A8" s="4" t="s">
        <v>55</v>
      </c>
    </row>
    <row r="9" spans="1:2">
      <c r="A9" s="6" t="s">
        <v>56</v>
      </c>
      <c r="B9" s="3" t="s">
        <v>57</v>
      </c>
    </row>
    <row r="10" spans="1:2">
      <c r="A10" s="6" t="s">
        <v>58</v>
      </c>
      <c r="B10" s="3" t="s">
        <v>59</v>
      </c>
    </row>
    <row r="11" spans="1:2">
      <c r="A11" s="6" t="s">
        <v>60</v>
      </c>
      <c r="B11" s="3" t="s">
        <v>61</v>
      </c>
    </row>
    <row r="12" spans="1:2">
      <c r="A12" s="6" t="s">
        <v>62</v>
      </c>
      <c r="B12" s="3" t="s">
        <v>63</v>
      </c>
    </row>
    <row r="14" spans="1:2">
      <c r="A14" s="4" t="s">
        <v>64</v>
      </c>
    </row>
    <row r="15" spans="1:2">
      <c r="A15" s="6" t="s">
        <v>65</v>
      </c>
      <c r="B15" s="3" t="s">
        <v>66</v>
      </c>
    </row>
    <row r="16" spans="1:2">
      <c r="A16" s="6" t="s">
        <v>67</v>
      </c>
      <c r="B16" s="3" t="s">
        <v>68</v>
      </c>
    </row>
    <row r="17" spans="1:2">
      <c r="A17" s="6" t="s">
        <v>69</v>
      </c>
      <c r="B17" s="3" t="s">
        <v>70</v>
      </c>
    </row>
    <row r="18" spans="1:2">
      <c r="A18" s="6" t="s">
        <v>71</v>
      </c>
      <c r="B18" s="3" t="s">
        <v>72</v>
      </c>
    </row>
    <row r="20" spans="1:2">
      <c r="A20" s="4" t="s">
        <v>73</v>
      </c>
    </row>
    <row r="21" spans="1:2">
      <c r="A21" s="6"/>
      <c r="B21" s="3" t="s">
        <v>74</v>
      </c>
    </row>
  </sheetData>
  <mergeCells count="1"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7"/>
  <sheetViews>
    <sheetView showGridLines="0" workbookViewId="0"/>
  </sheetViews>
  <sheetFormatPr defaultRowHeight="15"/>
  <cols>
    <col min="1" max="7" width="16.7109375" customWidth="1"/>
    <col min="9" max="11" width="16.7109375" customWidth="1"/>
    <col min="13" max="15" width="16.7109375" customWidth="1"/>
  </cols>
  <sheetData>
    <row r="1" spans="1:15">
      <c r="A1" s="8" t="s">
        <v>76</v>
      </c>
      <c r="B1" s="8" t="s">
        <v>83</v>
      </c>
      <c r="C1" s="8" t="s">
        <v>84</v>
      </c>
      <c r="D1" s="8" t="s">
        <v>85</v>
      </c>
      <c r="E1" s="8" t="s">
        <v>86</v>
      </c>
      <c r="F1" s="8" t="s">
        <v>87</v>
      </c>
      <c r="G1" s="8" t="s">
        <v>88</v>
      </c>
      <c r="I1" s="8" t="s">
        <v>90</v>
      </c>
      <c r="J1" s="8" t="s">
        <v>91</v>
      </c>
      <c r="K1" s="8" t="s">
        <v>92</v>
      </c>
      <c r="M1" s="8" t="s">
        <v>94</v>
      </c>
      <c r="N1" s="8" t="s">
        <v>95</v>
      </c>
      <c r="O1" s="8" t="s">
        <v>96</v>
      </c>
    </row>
    <row r="2" spans="1:15">
      <c r="A2" s="15" t="s">
        <v>77</v>
      </c>
      <c r="B2" s="15">
        <v>100</v>
      </c>
      <c r="C2" s="15">
        <v>0</v>
      </c>
      <c r="D2" s="15">
        <v>0</v>
      </c>
      <c r="E2" s="15">
        <v>0</v>
      </c>
      <c r="F2" s="15">
        <v>0</v>
      </c>
      <c r="G2" s="15">
        <v>0</v>
      </c>
      <c r="I2" s="15" t="s">
        <v>77</v>
      </c>
      <c r="J2" s="15">
        <v>6.84</v>
      </c>
      <c r="K2" s="15">
        <v>7.37</v>
      </c>
      <c r="M2" s="15" t="s">
        <v>77</v>
      </c>
      <c r="N2" s="15">
        <v>0.21</v>
      </c>
      <c r="O2" s="15">
        <v>3</v>
      </c>
    </row>
    <row r="3" spans="1:15">
      <c r="A3" s="15" t="s">
        <v>78</v>
      </c>
      <c r="B3" s="15">
        <v>42.79</v>
      </c>
      <c r="C3" s="15">
        <v>50.15</v>
      </c>
      <c r="D3" s="15">
        <v>0.07000000000000001</v>
      </c>
      <c r="E3" s="15">
        <v>0.07000000000000001</v>
      </c>
      <c r="F3" s="15">
        <v>6.84</v>
      </c>
      <c r="G3" s="15">
        <v>0.08</v>
      </c>
      <c r="I3" s="15" t="s">
        <v>78</v>
      </c>
      <c r="J3" s="15">
        <v>3.01</v>
      </c>
      <c r="K3" s="15">
        <v>2.92</v>
      </c>
      <c r="M3" s="15" t="s">
        <v>78</v>
      </c>
      <c r="N3" s="15">
        <v>0.3</v>
      </c>
      <c r="O3" s="15">
        <v>3</v>
      </c>
    </row>
    <row r="4" spans="1:15">
      <c r="A4" s="15" t="s">
        <v>79</v>
      </c>
      <c r="B4" s="15">
        <v>18.35</v>
      </c>
      <c r="C4" s="15">
        <v>39.61</v>
      </c>
      <c r="D4" s="15">
        <v>26.78</v>
      </c>
      <c r="E4" s="15">
        <v>0.14</v>
      </c>
      <c r="F4" s="15">
        <v>9.84</v>
      </c>
      <c r="G4" s="15">
        <v>5.28</v>
      </c>
      <c r="I4" s="15" t="s">
        <v>79</v>
      </c>
      <c r="J4" s="15">
        <v>1.43</v>
      </c>
      <c r="K4" s="15">
        <v>1.24</v>
      </c>
      <c r="M4" s="15" t="s">
        <v>79</v>
      </c>
      <c r="N4" s="15">
        <v>0.34</v>
      </c>
      <c r="O4" s="15">
        <v>3</v>
      </c>
    </row>
    <row r="5" spans="1:15">
      <c r="A5" s="15" t="s">
        <v>80</v>
      </c>
      <c r="B5" s="15">
        <v>7.95</v>
      </c>
      <c r="C5" s="15">
        <v>23.6</v>
      </c>
      <c r="D5" s="15">
        <v>21.21</v>
      </c>
      <c r="E5" s="15">
        <v>23.08</v>
      </c>
      <c r="F5" s="15">
        <v>11.28</v>
      </c>
      <c r="G5" s="15">
        <v>12.89</v>
      </c>
      <c r="I5" s="15" t="s">
        <v>80</v>
      </c>
      <c r="J5" s="15">
        <v>14.41</v>
      </c>
      <c r="K5" s="15">
        <v>12.85</v>
      </c>
      <c r="M5" s="15" t="s">
        <v>80</v>
      </c>
      <c r="N5" s="15">
        <v>0.77</v>
      </c>
      <c r="O5" s="15">
        <v>3</v>
      </c>
    </row>
    <row r="6" spans="1:15">
      <c r="A6" s="15" t="s">
        <v>81</v>
      </c>
      <c r="B6" s="15">
        <v>3.51</v>
      </c>
      <c r="C6" s="15">
        <v>12.61</v>
      </c>
      <c r="D6" s="15">
        <v>12.68</v>
      </c>
      <c r="E6" s="15">
        <v>21.41</v>
      </c>
      <c r="F6" s="15">
        <v>25.68</v>
      </c>
      <c r="G6" s="15">
        <v>24.11</v>
      </c>
      <c r="I6" s="15" t="s">
        <v>81</v>
      </c>
      <c r="J6" s="15">
        <v>13.08</v>
      </c>
      <c r="K6" s="15">
        <v>14</v>
      </c>
      <c r="M6" s="15" t="s">
        <v>81</v>
      </c>
      <c r="N6" s="15">
        <v>1.16</v>
      </c>
      <c r="O6" s="15">
        <v>3</v>
      </c>
    </row>
    <row r="7" spans="1:15">
      <c r="A7" s="15" t="s">
        <v>82</v>
      </c>
      <c r="B7" s="15">
        <v>1.57</v>
      </c>
      <c r="C7" s="15">
        <v>6.38</v>
      </c>
      <c r="D7" s="15">
        <v>6.79</v>
      </c>
      <c r="E7" s="15">
        <v>13.84</v>
      </c>
      <c r="F7" s="15">
        <v>38.76</v>
      </c>
      <c r="G7" s="15">
        <v>32.65</v>
      </c>
      <c r="I7" s="15" t="s">
        <v>82</v>
      </c>
      <c r="J7" s="15">
        <v>8.4</v>
      </c>
      <c r="K7" s="15">
        <v>9.94</v>
      </c>
      <c r="M7" s="15" t="s">
        <v>82</v>
      </c>
      <c r="N7" s="15">
        <v>1.41</v>
      </c>
      <c r="O7" s="15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1:B48"/>
  <sheetViews>
    <sheetView showGridLines="0" workbookViewId="0"/>
  </sheetViews>
  <sheetFormatPr defaultRowHeight="15"/>
  <cols>
    <col min="1" max="1" width="2.7109375" customWidth="1"/>
  </cols>
  <sheetData>
    <row r="1" spans="2:2">
      <c r="B1" s="16" t="s">
        <v>75</v>
      </c>
    </row>
    <row r="3" spans="2:2">
      <c r="B3" t="s">
        <v>76</v>
      </c>
    </row>
    <row r="4" spans="2:2">
      <c r="B4" s="17" t="s">
        <v>89</v>
      </c>
    </row>
    <row r="25" spans="2:2">
      <c r="B25" t="s">
        <v>90</v>
      </c>
    </row>
    <row r="26" spans="2:2">
      <c r="B26" s="17" t="s">
        <v>93</v>
      </c>
    </row>
    <row r="47" spans="2:2">
      <c r="B47" t="s">
        <v>94</v>
      </c>
    </row>
    <row r="48" spans="2:2">
      <c r="B48" s="17" t="s">
        <v>97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2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1.7109375" customWidth="1"/>
    <col min="2" max="2" width="14.7109375" customWidth="1"/>
    <col min="3" max="3" width="19.7109375" customWidth="1"/>
    <col min="4" max="4" width="14.7109375" customWidth="1"/>
    <col min="5" max="5" width="11.7109375" customWidth="1"/>
    <col min="6" max="6" width="13.7109375" customWidth="1"/>
    <col min="7" max="7" width="11.7109375" customWidth="1"/>
  </cols>
  <sheetData>
    <row r="1" spans="1:7">
      <c r="A1" s="4" t="s">
        <v>98</v>
      </c>
    </row>
    <row r="2" spans="1:7">
      <c r="A2" s="18" t="s">
        <v>99</v>
      </c>
    </row>
    <row r="4" spans="1:7" ht="24" customHeight="1">
      <c r="A4" s="8" t="s">
        <v>100</v>
      </c>
      <c r="B4" s="8" t="s">
        <v>83</v>
      </c>
      <c r="C4" s="8" t="s">
        <v>84</v>
      </c>
      <c r="D4" s="8" t="s">
        <v>85</v>
      </c>
      <c r="E4" s="8" t="s">
        <v>86</v>
      </c>
      <c r="F4" s="8" t="s">
        <v>87</v>
      </c>
      <c r="G4" s="8" t="s">
        <v>88</v>
      </c>
    </row>
    <row r="5" spans="1:7">
      <c r="A5" s="15" t="s">
        <v>77</v>
      </c>
      <c r="B5" s="15" t="s">
        <v>101</v>
      </c>
      <c r="C5" s="15" t="s">
        <v>102</v>
      </c>
      <c r="D5" s="15" t="s">
        <v>103</v>
      </c>
      <c r="E5" s="15" t="s">
        <v>103</v>
      </c>
      <c r="F5" s="15" t="s">
        <v>104</v>
      </c>
      <c r="G5" s="15" t="s">
        <v>105</v>
      </c>
    </row>
    <row r="6" spans="1:7">
      <c r="A6" s="15" t="s">
        <v>78</v>
      </c>
      <c r="B6" s="15" t="s">
        <v>106</v>
      </c>
      <c r="C6" s="15" t="s">
        <v>107</v>
      </c>
      <c r="D6" s="15" t="s">
        <v>108</v>
      </c>
      <c r="E6" s="15" t="s">
        <v>109</v>
      </c>
      <c r="F6" s="15" t="s">
        <v>110</v>
      </c>
      <c r="G6" s="15" t="s">
        <v>111</v>
      </c>
    </row>
    <row r="7" spans="1:7">
      <c r="A7" s="15" t="s">
        <v>79</v>
      </c>
      <c r="B7" s="15" t="s">
        <v>112</v>
      </c>
      <c r="C7" s="15" t="s">
        <v>113</v>
      </c>
      <c r="D7" s="15" t="s">
        <v>114</v>
      </c>
      <c r="E7" s="15" t="s">
        <v>115</v>
      </c>
      <c r="F7" s="15" t="s">
        <v>116</v>
      </c>
      <c r="G7" s="15" t="s">
        <v>117</v>
      </c>
    </row>
    <row r="8" spans="1:7">
      <c r="A8" s="15" t="s">
        <v>80</v>
      </c>
      <c r="B8" s="15" t="s">
        <v>118</v>
      </c>
      <c r="C8" s="15" t="s">
        <v>119</v>
      </c>
      <c r="D8" s="15" t="s">
        <v>120</v>
      </c>
      <c r="E8" s="15" t="s">
        <v>121</v>
      </c>
      <c r="F8" s="15" t="s">
        <v>122</v>
      </c>
      <c r="G8" s="15" t="s">
        <v>123</v>
      </c>
    </row>
    <row r="9" spans="1:7">
      <c r="A9" s="15" t="s">
        <v>81</v>
      </c>
      <c r="B9" s="15" t="s">
        <v>124</v>
      </c>
      <c r="C9" s="15" t="s">
        <v>125</v>
      </c>
      <c r="D9" s="15" t="s">
        <v>104</v>
      </c>
      <c r="E9" s="15" t="s">
        <v>126</v>
      </c>
      <c r="F9" s="15" t="s">
        <v>127</v>
      </c>
      <c r="G9" s="15" t="s">
        <v>128</v>
      </c>
    </row>
    <row r="10" spans="1:7">
      <c r="A10" s="15" t="s">
        <v>82</v>
      </c>
      <c r="B10" s="15" t="s">
        <v>129</v>
      </c>
      <c r="C10" s="15" t="s">
        <v>130</v>
      </c>
      <c r="D10" s="15" t="s">
        <v>131</v>
      </c>
      <c r="E10" s="15" t="s">
        <v>132</v>
      </c>
      <c r="F10" s="15" t="s">
        <v>133</v>
      </c>
      <c r="G10" s="15" t="s">
        <v>134</v>
      </c>
    </row>
    <row r="12" spans="1:7">
      <c r="A12" s="18" t="s">
        <v>135</v>
      </c>
    </row>
  </sheetData>
  <autoFilter ref="A4:G10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2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1.7109375" customWidth="1"/>
    <col min="2" max="2" width="25.7109375" customWidth="1"/>
    <col min="3" max="3" width="28.7109375" customWidth="1"/>
    <col min="4" max="4" width="23.7109375" customWidth="1"/>
    <col min="5" max="5" width="24.7109375" customWidth="1"/>
    <col min="6" max="6" width="22.7109375" customWidth="1"/>
    <col min="7" max="7" width="19.7109375" customWidth="1"/>
  </cols>
  <sheetData>
    <row r="1" spans="1:7">
      <c r="A1" s="4" t="s">
        <v>136</v>
      </c>
    </row>
    <row r="2" spans="1:7">
      <c r="A2" s="18" t="s">
        <v>137</v>
      </c>
    </row>
    <row r="4" spans="1:7" ht="24" customHeight="1">
      <c r="A4" s="8" t="s">
        <v>100</v>
      </c>
      <c r="B4" s="8" t="s">
        <v>138</v>
      </c>
      <c r="C4" s="8" t="s">
        <v>139</v>
      </c>
      <c r="D4" s="8" t="s">
        <v>140</v>
      </c>
      <c r="E4" s="8" t="s">
        <v>141</v>
      </c>
      <c r="F4" s="8" t="s">
        <v>142</v>
      </c>
      <c r="G4" s="8" t="s">
        <v>143</v>
      </c>
    </row>
    <row r="5" spans="1:7">
      <c r="A5" s="15" t="s">
        <v>77</v>
      </c>
      <c r="B5" s="15" t="s">
        <v>104</v>
      </c>
      <c r="C5" s="15" t="s">
        <v>144</v>
      </c>
      <c r="D5" s="15" t="s">
        <v>144</v>
      </c>
      <c r="E5" s="15" t="s">
        <v>104</v>
      </c>
      <c r="F5" s="15" t="s">
        <v>105</v>
      </c>
      <c r="G5" s="15" t="s">
        <v>145</v>
      </c>
    </row>
    <row r="6" spans="1:7">
      <c r="A6" s="19" t="s">
        <v>78</v>
      </c>
      <c r="B6" s="19" t="s">
        <v>22</v>
      </c>
      <c r="C6" s="19" t="s">
        <v>146</v>
      </c>
      <c r="D6" s="19" t="s">
        <v>34</v>
      </c>
      <c r="E6" s="19" t="s">
        <v>110</v>
      </c>
      <c r="F6" s="19" t="s">
        <v>111</v>
      </c>
      <c r="G6" s="19" t="s">
        <v>37</v>
      </c>
    </row>
    <row r="7" spans="1:7">
      <c r="A7" s="15" t="s">
        <v>79</v>
      </c>
      <c r="B7" s="15" t="s">
        <v>147</v>
      </c>
      <c r="C7" s="15" t="s">
        <v>148</v>
      </c>
      <c r="D7" s="15" t="s">
        <v>149</v>
      </c>
      <c r="E7" s="15" t="s">
        <v>116</v>
      </c>
      <c r="F7" s="15" t="s">
        <v>117</v>
      </c>
      <c r="G7" s="15" t="s">
        <v>150</v>
      </c>
    </row>
    <row r="8" spans="1:7">
      <c r="A8" s="15" t="s">
        <v>80</v>
      </c>
      <c r="B8" s="15" t="s">
        <v>151</v>
      </c>
      <c r="C8" s="15" t="s">
        <v>152</v>
      </c>
      <c r="D8" s="15" t="s">
        <v>153</v>
      </c>
      <c r="E8" s="15" t="s">
        <v>122</v>
      </c>
      <c r="F8" s="15" t="s">
        <v>123</v>
      </c>
      <c r="G8" s="15" t="s">
        <v>154</v>
      </c>
    </row>
    <row r="9" spans="1:7">
      <c r="A9" s="15" t="s">
        <v>81</v>
      </c>
      <c r="B9" s="15" t="s">
        <v>155</v>
      </c>
      <c r="C9" s="15" t="s">
        <v>156</v>
      </c>
      <c r="D9" s="15" t="s">
        <v>157</v>
      </c>
      <c r="E9" s="15" t="s">
        <v>127</v>
      </c>
      <c r="F9" s="15" t="s">
        <v>128</v>
      </c>
      <c r="G9" s="15" t="s">
        <v>158</v>
      </c>
    </row>
    <row r="10" spans="1:7">
      <c r="A10" s="15" t="s">
        <v>82</v>
      </c>
      <c r="B10" s="15" t="s">
        <v>159</v>
      </c>
      <c r="C10" s="15" t="s">
        <v>160</v>
      </c>
      <c r="D10" s="15" t="s">
        <v>161</v>
      </c>
      <c r="E10" s="15" t="s">
        <v>133</v>
      </c>
      <c r="F10" s="15" t="s">
        <v>134</v>
      </c>
      <c r="G10" s="15" t="s">
        <v>162</v>
      </c>
    </row>
    <row r="12" spans="1:7">
      <c r="A12" s="18" t="s">
        <v>163</v>
      </c>
    </row>
  </sheetData>
  <autoFilter ref="A4:G10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0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31.7109375" customWidth="1"/>
    <col min="2" max="3" width="25.7109375" customWidth="1"/>
  </cols>
  <sheetData>
    <row r="1" spans="1:3">
      <c r="A1" s="4" t="s">
        <v>164</v>
      </c>
    </row>
    <row r="2" spans="1:3">
      <c r="A2" s="18" t="s">
        <v>165</v>
      </c>
    </row>
    <row r="4" spans="1:3" ht="24" customHeight="1">
      <c r="A4" s="8" t="s">
        <v>166</v>
      </c>
      <c r="B4" s="8" t="s">
        <v>167</v>
      </c>
      <c r="C4" s="8" t="s">
        <v>168</v>
      </c>
    </row>
    <row r="5" spans="1:3">
      <c r="A5" s="15" t="s">
        <v>169</v>
      </c>
      <c r="B5" s="15" t="s">
        <v>116</v>
      </c>
      <c r="C5" s="15" t="s">
        <v>170</v>
      </c>
    </row>
    <row r="6" spans="1:3">
      <c r="A6" s="15" t="s">
        <v>171</v>
      </c>
      <c r="B6" s="15" t="s">
        <v>172</v>
      </c>
      <c r="C6" s="15" t="s">
        <v>173</v>
      </c>
    </row>
    <row r="7" spans="1:3">
      <c r="A7" s="15" t="s">
        <v>174</v>
      </c>
      <c r="B7" s="15" t="s">
        <v>175</v>
      </c>
      <c r="C7" s="15" t="s">
        <v>176</v>
      </c>
    </row>
    <row r="8" spans="1:3">
      <c r="A8" s="19" t="s">
        <v>177</v>
      </c>
      <c r="B8" s="19" t="s">
        <v>110</v>
      </c>
      <c r="C8" s="19" t="s">
        <v>30</v>
      </c>
    </row>
    <row r="10" spans="1:3">
      <c r="A10" s="18" t="s">
        <v>178</v>
      </c>
    </row>
  </sheetData>
  <autoFilter ref="A4:C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31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3" width="11.7109375" customWidth="1"/>
    <col min="4" max="4" width="12.7109375" customWidth="1"/>
    <col min="5" max="5" width="17.7109375" customWidth="1"/>
    <col min="6" max="6" width="15.7109375" customWidth="1"/>
    <col min="7" max="7" width="11.7109375" customWidth="1"/>
  </cols>
  <sheetData>
    <row r="1" spans="1:7">
      <c r="A1" s="4" t="s">
        <v>179</v>
      </c>
    </row>
    <row r="2" spans="1:7">
      <c r="A2" s="18" t="s">
        <v>180</v>
      </c>
    </row>
    <row r="4" spans="1:7" ht="24" customHeight="1">
      <c r="A4" s="8" t="s">
        <v>181</v>
      </c>
      <c r="B4" s="8" t="s">
        <v>18</v>
      </c>
      <c r="C4" s="8" t="s">
        <v>182</v>
      </c>
      <c r="D4" s="8" t="s">
        <v>183</v>
      </c>
      <c r="E4" s="8" t="s">
        <v>184</v>
      </c>
      <c r="F4" s="8" t="s">
        <v>185</v>
      </c>
      <c r="G4" s="8" t="s">
        <v>186</v>
      </c>
    </row>
    <row r="5" spans="1:7">
      <c r="A5" s="15" t="s">
        <v>187</v>
      </c>
      <c r="B5" s="15" t="s">
        <v>188</v>
      </c>
      <c r="C5" s="15" t="s">
        <v>189</v>
      </c>
      <c r="D5" s="15" t="s">
        <v>88</v>
      </c>
      <c r="E5" s="15" t="s">
        <v>190</v>
      </c>
      <c r="F5" s="15" t="s">
        <v>190</v>
      </c>
      <c r="G5" s="15" t="s">
        <v>191</v>
      </c>
    </row>
    <row r="6" spans="1:7">
      <c r="A6" s="15" t="s">
        <v>192</v>
      </c>
      <c r="B6" s="15" t="s">
        <v>193</v>
      </c>
      <c r="C6" s="15" t="s">
        <v>194</v>
      </c>
      <c r="D6" s="15" t="s">
        <v>87</v>
      </c>
      <c r="E6" s="15" t="s">
        <v>195</v>
      </c>
      <c r="F6" s="15" t="s">
        <v>195</v>
      </c>
      <c r="G6" s="15" t="s">
        <v>196</v>
      </c>
    </row>
    <row r="7" spans="1:7">
      <c r="A7" s="15" t="s">
        <v>197</v>
      </c>
      <c r="B7" s="15" t="s">
        <v>198</v>
      </c>
      <c r="C7" s="15" t="s">
        <v>199</v>
      </c>
      <c r="D7" s="15" t="s">
        <v>87</v>
      </c>
      <c r="E7" s="15" t="s">
        <v>190</v>
      </c>
      <c r="F7" s="15" t="s">
        <v>190</v>
      </c>
      <c r="G7" s="15" t="s">
        <v>196</v>
      </c>
    </row>
    <row r="8" spans="1:7">
      <c r="A8" s="15" t="s">
        <v>200</v>
      </c>
      <c r="B8" s="15" t="s">
        <v>201</v>
      </c>
      <c r="C8" s="15" t="s">
        <v>189</v>
      </c>
      <c r="D8" s="15" t="s">
        <v>87</v>
      </c>
      <c r="E8" s="15" t="s">
        <v>202</v>
      </c>
      <c r="F8" s="15" t="s">
        <v>202</v>
      </c>
      <c r="G8" s="15" t="s">
        <v>196</v>
      </c>
    </row>
    <row r="9" spans="1:7">
      <c r="A9" s="15" t="s">
        <v>203</v>
      </c>
      <c r="B9" s="15" t="s">
        <v>204</v>
      </c>
      <c r="C9" s="15" t="s">
        <v>199</v>
      </c>
      <c r="D9" s="15" t="s">
        <v>87</v>
      </c>
      <c r="E9" s="15" t="s">
        <v>195</v>
      </c>
      <c r="F9" s="15" t="s">
        <v>195</v>
      </c>
      <c r="G9" s="15" t="s">
        <v>196</v>
      </c>
    </row>
    <row r="10" spans="1:7">
      <c r="A10" s="15" t="s">
        <v>205</v>
      </c>
      <c r="B10" s="15" t="s">
        <v>206</v>
      </c>
      <c r="C10" s="15" t="s">
        <v>207</v>
      </c>
      <c r="D10" s="15" t="s">
        <v>88</v>
      </c>
      <c r="E10" s="15" t="s">
        <v>195</v>
      </c>
      <c r="F10" s="15" t="s">
        <v>195</v>
      </c>
      <c r="G10" s="15" t="s">
        <v>191</v>
      </c>
    </row>
    <row r="11" spans="1:7">
      <c r="A11" s="15" t="s">
        <v>208</v>
      </c>
      <c r="B11" s="15" t="s">
        <v>209</v>
      </c>
      <c r="C11" s="15" t="s">
        <v>189</v>
      </c>
      <c r="D11" s="15" t="s">
        <v>87</v>
      </c>
      <c r="E11" s="15" t="s">
        <v>195</v>
      </c>
      <c r="F11" s="15" t="s">
        <v>195</v>
      </c>
      <c r="G11" s="15" t="s">
        <v>196</v>
      </c>
    </row>
    <row r="12" spans="1:7">
      <c r="A12" s="15" t="s">
        <v>210</v>
      </c>
      <c r="B12" s="15" t="s">
        <v>211</v>
      </c>
      <c r="C12" s="15" t="s">
        <v>212</v>
      </c>
      <c r="D12" s="15" t="s">
        <v>88</v>
      </c>
      <c r="E12" s="15" t="s">
        <v>213</v>
      </c>
      <c r="F12" s="15" t="s">
        <v>213</v>
      </c>
      <c r="G12" s="15" t="s">
        <v>191</v>
      </c>
    </row>
    <row r="13" spans="1:7">
      <c r="A13" s="15" t="s">
        <v>214</v>
      </c>
      <c r="B13" s="15" t="s">
        <v>215</v>
      </c>
      <c r="C13" s="15" t="s">
        <v>207</v>
      </c>
      <c r="D13" s="15" t="s">
        <v>87</v>
      </c>
      <c r="E13" s="15" t="s">
        <v>216</v>
      </c>
      <c r="F13" s="15" t="s">
        <v>216</v>
      </c>
      <c r="G13" s="15" t="s">
        <v>196</v>
      </c>
    </row>
    <row r="14" spans="1:7">
      <c r="A14" s="15" t="s">
        <v>217</v>
      </c>
      <c r="B14" s="15" t="s">
        <v>215</v>
      </c>
      <c r="C14" s="15" t="s">
        <v>189</v>
      </c>
      <c r="D14" s="15" t="s">
        <v>87</v>
      </c>
      <c r="E14" s="15" t="s">
        <v>195</v>
      </c>
      <c r="F14" s="15" t="s">
        <v>195</v>
      </c>
      <c r="G14" s="15" t="s">
        <v>196</v>
      </c>
    </row>
    <row r="15" spans="1:7">
      <c r="A15" s="15" t="s">
        <v>218</v>
      </c>
      <c r="B15" s="15" t="s">
        <v>219</v>
      </c>
      <c r="C15" s="15" t="s">
        <v>199</v>
      </c>
      <c r="D15" s="15" t="s">
        <v>88</v>
      </c>
      <c r="E15" s="15" t="s">
        <v>195</v>
      </c>
      <c r="F15" s="15" t="s">
        <v>195</v>
      </c>
      <c r="G15" s="15" t="s">
        <v>191</v>
      </c>
    </row>
    <row r="16" spans="1:7">
      <c r="A16" s="15" t="s">
        <v>220</v>
      </c>
      <c r="B16" s="15" t="s">
        <v>221</v>
      </c>
      <c r="C16" s="15" t="s">
        <v>207</v>
      </c>
      <c r="D16" s="15" t="s">
        <v>87</v>
      </c>
      <c r="E16" s="15" t="s">
        <v>195</v>
      </c>
      <c r="F16" s="15" t="s">
        <v>195</v>
      </c>
      <c r="G16" s="15" t="s">
        <v>196</v>
      </c>
    </row>
    <row r="17" spans="1:7">
      <c r="A17" s="15" t="s">
        <v>222</v>
      </c>
      <c r="B17" s="15" t="s">
        <v>221</v>
      </c>
      <c r="C17" s="15" t="s">
        <v>199</v>
      </c>
      <c r="D17" s="15" t="s">
        <v>87</v>
      </c>
      <c r="E17" s="15" t="s">
        <v>216</v>
      </c>
      <c r="F17" s="15" t="s">
        <v>216</v>
      </c>
      <c r="G17" s="15" t="s">
        <v>196</v>
      </c>
    </row>
    <row r="18" spans="1:7">
      <c r="A18" s="15" t="s">
        <v>223</v>
      </c>
      <c r="B18" s="15" t="s">
        <v>224</v>
      </c>
      <c r="C18" s="15" t="s">
        <v>207</v>
      </c>
      <c r="D18" s="15" t="s">
        <v>87</v>
      </c>
      <c r="E18" s="15" t="s">
        <v>202</v>
      </c>
      <c r="F18" s="15" t="s">
        <v>202</v>
      </c>
      <c r="G18" s="15" t="s">
        <v>196</v>
      </c>
    </row>
    <row r="19" spans="1:7">
      <c r="A19" s="15" t="s">
        <v>225</v>
      </c>
      <c r="B19" s="15" t="s">
        <v>226</v>
      </c>
      <c r="C19" s="15" t="s">
        <v>194</v>
      </c>
      <c r="D19" s="15" t="s">
        <v>88</v>
      </c>
      <c r="E19" s="15" t="s">
        <v>213</v>
      </c>
      <c r="F19" s="15" t="s">
        <v>213</v>
      </c>
      <c r="G19" s="15" t="s">
        <v>191</v>
      </c>
    </row>
    <row r="20" spans="1:7">
      <c r="A20" s="15" t="s">
        <v>227</v>
      </c>
      <c r="B20" s="15" t="s">
        <v>226</v>
      </c>
      <c r="C20" s="15" t="s">
        <v>228</v>
      </c>
      <c r="D20" s="15" t="s">
        <v>87</v>
      </c>
      <c r="E20" s="15" t="s">
        <v>195</v>
      </c>
      <c r="F20" s="15" t="s">
        <v>195</v>
      </c>
      <c r="G20" s="15" t="s">
        <v>196</v>
      </c>
    </row>
    <row r="21" spans="1:7">
      <c r="A21" s="15" t="s">
        <v>229</v>
      </c>
      <c r="B21" s="15" t="s">
        <v>230</v>
      </c>
      <c r="C21" s="15" t="s">
        <v>199</v>
      </c>
      <c r="D21" s="15" t="s">
        <v>88</v>
      </c>
      <c r="E21" s="15" t="s">
        <v>190</v>
      </c>
      <c r="F21" s="15" t="s">
        <v>190</v>
      </c>
      <c r="G21" s="15" t="s">
        <v>191</v>
      </c>
    </row>
    <row r="22" spans="1:7">
      <c r="A22" s="15" t="s">
        <v>231</v>
      </c>
      <c r="B22" s="15" t="s">
        <v>232</v>
      </c>
      <c r="C22" s="15" t="s">
        <v>228</v>
      </c>
      <c r="D22" s="15" t="s">
        <v>87</v>
      </c>
      <c r="E22" s="15" t="s">
        <v>195</v>
      </c>
      <c r="F22" s="15" t="s">
        <v>195</v>
      </c>
      <c r="G22" s="15" t="s">
        <v>196</v>
      </c>
    </row>
    <row r="23" spans="1:7">
      <c r="A23" s="15" t="s">
        <v>233</v>
      </c>
      <c r="B23" s="15" t="s">
        <v>234</v>
      </c>
      <c r="C23" s="15" t="s">
        <v>228</v>
      </c>
      <c r="D23" s="15" t="s">
        <v>87</v>
      </c>
      <c r="E23" s="15" t="s">
        <v>195</v>
      </c>
      <c r="F23" s="15" t="s">
        <v>195</v>
      </c>
      <c r="G23" s="15" t="s">
        <v>196</v>
      </c>
    </row>
    <row r="24" spans="1:7">
      <c r="A24" s="15" t="s">
        <v>235</v>
      </c>
      <c r="B24" s="15" t="s">
        <v>236</v>
      </c>
      <c r="C24" s="15" t="s">
        <v>207</v>
      </c>
      <c r="D24" s="15" t="s">
        <v>88</v>
      </c>
      <c r="E24" s="15" t="s">
        <v>190</v>
      </c>
      <c r="F24" s="15" t="s">
        <v>190</v>
      </c>
      <c r="G24" s="15" t="s">
        <v>191</v>
      </c>
    </row>
    <row r="25" spans="1:7">
      <c r="A25" s="15" t="s">
        <v>237</v>
      </c>
      <c r="B25" s="15" t="s">
        <v>238</v>
      </c>
      <c r="C25" s="15" t="s">
        <v>228</v>
      </c>
      <c r="D25" s="15" t="s">
        <v>88</v>
      </c>
      <c r="E25" s="15" t="s">
        <v>213</v>
      </c>
      <c r="F25" s="15" t="s">
        <v>213</v>
      </c>
      <c r="G25" s="15" t="s">
        <v>191</v>
      </c>
    </row>
    <row r="26" spans="1:7">
      <c r="A26" s="15" t="s">
        <v>239</v>
      </c>
      <c r="B26" s="15" t="s">
        <v>240</v>
      </c>
      <c r="C26" s="15" t="s">
        <v>194</v>
      </c>
      <c r="D26" s="15" t="s">
        <v>88</v>
      </c>
      <c r="E26" s="15" t="s">
        <v>195</v>
      </c>
      <c r="F26" s="15" t="s">
        <v>195</v>
      </c>
      <c r="G26" s="15" t="s">
        <v>191</v>
      </c>
    </row>
    <row r="27" spans="1:7">
      <c r="A27" s="15" t="s">
        <v>241</v>
      </c>
      <c r="B27" s="15" t="s">
        <v>242</v>
      </c>
      <c r="C27" s="15" t="s">
        <v>189</v>
      </c>
      <c r="D27" s="15" t="s">
        <v>88</v>
      </c>
      <c r="E27" s="15" t="s">
        <v>190</v>
      </c>
      <c r="F27" s="15" t="s">
        <v>190</v>
      </c>
      <c r="G27" s="15" t="s">
        <v>191</v>
      </c>
    </row>
    <row r="28" spans="1:7">
      <c r="A28" s="15" t="s">
        <v>243</v>
      </c>
      <c r="B28" s="15" t="s">
        <v>244</v>
      </c>
      <c r="C28" s="15" t="s">
        <v>189</v>
      </c>
      <c r="D28" s="15" t="s">
        <v>87</v>
      </c>
      <c r="E28" s="15" t="s">
        <v>195</v>
      </c>
      <c r="F28" s="15" t="s">
        <v>195</v>
      </c>
      <c r="G28" s="15" t="s">
        <v>196</v>
      </c>
    </row>
    <row r="29" spans="1:7">
      <c r="A29" s="15" t="s">
        <v>245</v>
      </c>
      <c r="B29" s="15" t="s">
        <v>246</v>
      </c>
      <c r="C29" s="15" t="s">
        <v>207</v>
      </c>
      <c r="D29" s="15" t="s">
        <v>87</v>
      </c>
      <c r="E29" s="15" t="s">
        <v>202</v>
      </c>
      <c r="F29" s="15" t="s">
        <v>202</v>
      </c>
      <c r="G29" s="15" t="s">
        <v>196</v>
      </c>
    </row>
    <row r="31" spans="1:7">
      <c r="A31" s="18" t="s">
        <v>247</v>
      </c>
    </row>
  </sheetData>
  <autoFilter ref="A4:G29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23"/>
  <sheetViews>
    <sheetView showGridLines="0" workbookViewId="0"/>
  </sheetViews>
  <sheetFormatPr defaultRowHeight="15"/>
  <cols>
    <col min="1" max="1" width="8.7109375" customWidth="1"/>
    <col min="2" max="2" width="110.7109375" customWidth="1"/>
  </cols>
  <sheetData>
    <row r="1" spans="1:2">
      <c r="A1" s="4" t="s">
        <v>248</v>
      </c>
    </row>
    <row r="3" spans="1:2">
      <c r="A3" s="6" t="s">
        <v>249</v>
      </c>
    </row>
    <row r="4" spans="1:2">
      <c r="A4" s="6" t="s">
        <v>250</v>
      </c>
      <c r="B4" s="20" t="s">
        <v>251</v>
      </c>
    </row>
    <row r="5" spans="1:2">
      <c r="A5" s="6" t="s">
        <v>250</v>
      </c>
      <c r="B5" s="20" t="s">
        <v>252</v>
      </c>
    </row>
    <row r="6" spans="1:2">
      <c r="A6" s="6" t="s">
        <v>250</v>
      </c>
      <c r="B6" s="20" t="s">
        <v>253</v>
      </c>
    </row>
    <row r="8" spans="1:2">
      <c r="A8" s="6" t="s">
        <v>254</v>
      </c>
    </row>
    <row r="9" spans="1:2">
      <c r="A9" s="6">
        <v>1</v>
      </c>
      <c r="B9" s="3" t="s">
        <v>255</v>
      </c>
    </row>
    <row r="10" spans="1:2">
      <c r="A10" s="6">
        <v>2</v>
      </c>
      <c r="B10" s="3" t="s">
        <v>256</v>
      </c>
    </row>
    <row r="11" spans="1:2">
      <c r="A11" s="6">
        <v>3</v>
      </c>
      <c r="B11" s="3" t="s">
        <v>257</v>
      </c>
    </row>
    <row r="12" spans="1:2">
      <c r="A12" s="6">
        <v>4</v>
      </c>
      <c r="B12" s="3" t="s">
        <v>258</v>
      </c>
    </row>
    <row r="13" spans="1:2">
      <c r="A13" s="6">
        <v>5</v>
      </c>
      <c r="B13" s="3" t="s">
        <v>259</v>
      </c>
    </row>
    <row r="14" spans="1:2">
      <c r="A14" s="6">
        <v>6</v>
      </c>
      <c r="B14" s="3" t="s">
        <v>260</v>
      </c>
    </row>
    <row r="15" spans="1:2">
      <c r="A15" s="6">
        <v>7</v>
      </c>
      <c r="B15" s="3" t="s">
        <v>261</v>
      </c>
    </row>
    <row r="16" spans="1:2">
      <c r="A16" s="6">
        <v>8</v>
      </c>
      <c r="B16" s="3" t="s">
        <v>262</v>
      </c>
    </row>
    <row r="17" spans="1:2">
      <c r="A17" s="6">
        <v>9</v>
      </c>
      <c r="B17" s="3" t="s">
        <v>263</v>
      </c>
    </row>
    <row r="18" spans="1:2">
      <c r="A18" s="6">
        <v>10</v>
      </c>
      <c r="B18" s="3" t="s">
        <v>264</v>
      </c>
    </row>
    <row r="19" spans="1:2">
      <c r="A19" s="6">
        <v>11</v>
      </c>
      <c r="B19" s="3" t="s">
        <v>265</v>
      </c>
    </row>
    <row r="20" spans="1:2">
      <c r="A20" s="6">
        <v>12</v>
      </c>
      <c r="B20" s="3" t="s">
        <v>266</v>
      </c>
    </row>
    <row r="21" spans="1:2">
      <c r="A21" s="6">
        <v>13</v>
      </c>
      <c r="B21" s="3" t="s">
        <v>267</v>
      </c>
    </row>
    <row r="22" spans="1:2">
      <c r="A22" s="6">
        <v>14</v>
      </c>
      <c r="B22" s="3" t="s">
        <v>268</v>
      </c>
    </row>
    <row r="23" spans="1:2">
      <c r="A23" s="6">
        <v>15</v>
      </c>
      <c r="B23" s="3" t="s">
        <v>269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29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4.7109375" customWidth="1"/>
    <col min="3" max="3" width="90.7109375" customWidth="1"/>
    <col min="4" max="4" width="60.7109375" customWidth="1"/>
  </cols>
  <sheetData>
    <row r="1" spans="1:4" ht="22" customHeight="1">
      <c r="A1" s="8" t="s">
        <v>270</v>
      </c>
      <c r="B1" s="8" t="s">
        <v>271</v>
      </c>
      <c r="C1" s="8" t="s">
        <v>272</v>
      </c>
      <c r="D1" s="8" t="s">
        <v>273</v>
      </c>
    </row>
    <row r="2" spans="1:4">
      <c r="A2" s="21" t="s">
        <v>274</v>
      </c>
      <c r="B2" s="15" t="s">
        <v>275</v>
      </c>
      <c r="C2" s="22" t="s">
        <v>276</v>
      </c>
      <c r="D2" s="22"/>
    </row>
    <row r="3" spans="1:4">
      <c r="A3" s="21" t="s">
        <v>274</v>
      </c>
      <c r="B3" s="15" t="s">
        <v>275</v>
      </c>
      <c r="C3" s="22" t="s">
        <v>277</v>
      </c>
      <c r="D3" s="22" t="s">
        <v>278</v>
      </c>
    </row>
    <row r="4" spans="1:4">
      <c r="A4" s="21" t="s">
        <v>274</v>
      </c>
      <c r="B4" s="15" t="s">
        <v>275</v>
      </c>
      <c r="C4" s="22" t="s">
        <v>279</v>
      </c>
      <c r="D4" s="22"/>
    </row>
    <row r="5" spans="1:4">
      <c r="A5" s="21" t="s">
        <v>274</v>
      </c>
      <c r="B5" s="15" t="s">
        <v>275</v>
      </c>
      <c r="C5" s="22" t="s">
        <v>280</v>
      </c>
      <c r="D5" s="22"/>
    </row>
    <row r="6" spans="1:4">
      <c r="A6" s="21" t="s">
        <v>274</v>
      </c>
      <c r="B6" s="15" t="s">
        <v>275</v>
      </c>
      <c r="C6" s="22" t="s">
        <v>281</v>
      </c>
      <c r="D6" s="22"/>
    </row>
    <row r="7" spans="1:4">
      <c r="A7" s="21" t="s">
        <v>274</v>
      </c>
      <c r="B7" s="15" t="s">
        <v>275</v>
      </c>
      <c r="C7" s="22" t="s">
        <v>282</v>
      </c>
      <c r="D7" s="22"/>
    </row>
    <row r="8" spans="1:4">
      <c r="A8" s="21" t="s">
        <v>274</v>
      </c>
      <c r="B8" s="15" t="s">
        <v>275</v>
      </c>
      <c r="C8" s="22" t="s">
        <v>283</v>
      </c>
      <c r="D8" s="22"/>
    </row>
    <row r="9" spans="1:4">
      <c r="A9" s="21" t="s">
        <v>274</v>
      </c>
      <c r="B9" s="15" t="s">
        <v>275</v>
      </c>
      <c r="C9" s="22" t="s">
        <v>284</v>
      </c>
      <c r="D9" s="22"/>
    </row>
    <row r="10" spans="1:4">
      <c r="A10" s="21" t="s">
        <v>274</v>
      </c>
      <c r="B10" s="15" t="s">
        <v>275</v>
      </c>
      <c r="C10" s="22" t="s">
        <v>285</v>
      </c>
      <c r="D10" s="22"/>
    </row>
    <row r="11" spans="1:4">
      <c r="A11" s="21" t="s">
        <v>274</v>
      </c>
      <c r="B11" s="15" t="s">
        <v>275</v>
      </c>
      <c r="C11" s="22" t="s">
        <v>286</v>
      </c>
      <c r="D11" s="22"/>
    </row>
    <row r="12" spans="1:4">
      <c r="A12" s="21" t="s">
        <v>274</v>
      </c>
      <c r="B12" s="15" t="s">
        <v>275</v>
      </c>
      <c r="C12" s="22" t="s">
        <v>262</v>
      </c>
      <c r="D12" s="22" t="s">
        <v>287</v>
      </c>
    </row>
    <row r="13" spans="1:4">
      <c r="A13" s="21" t="s">
        <v>274</v>
      </c>
      <c r="B13" s="15" t="s">
        <v>275</v>
      </c>
      <c r="C13" s="22" t="s">
        <v>263</v>
      </c>
      <c r="D13" s="22" t="s">
        <v>287</v>
      </c>
    </row>
    <row r="14" spans="1:4">
      <c r="A14" s="21" t="s">
        <v>274</v>
      </c>
      <c r="B14" s="15" t="s">
        <v>275</v>
      </c>
      <c r="C14" s="22" t="s">
        <v>264</v>
      </c>
      <c r="D14" s="22" t="s">
        <v>287</v>
      </c>
    </row>
    <row r="15" spans="1:4">
      <c r="A15" s="21" t="s">
        <v>274</v>
      </c>
      <c r="B15" s="15" t="s">
        <v>275</v>
      </c>
      <c r="C15" s="22" t="s">
        <v>265</v>
      </c>
      <c r="D15" s="22" t="s">
        <v>287</v>
      </c>
    </row>
    <row r="16" spans="1:4">
      <c r="A16" s="21" t="s">
        <v>274</v>
      </c>
      <c r="B16" s="15" t="s">
        <v>275</v>
      </c>
      <c r="C16" s="22" t="s">
        <v>266</v>
      </c>
      <c r="D16" s="22" t="s">
        <v>287</v>
      </c>
    </row>
    <row r="17" spans="1:4">
      <c r="A17" s="21" t="s">
        <v>274</v>
      </c>
      <c r="B17" s="15" t="s">
        <v>275</v>
      </c>
      <c r="C17" s="22" t="s">
        <v>267</v>
      </c>
      <c r="D17" s="22" t="s">
        <v>287</v>
      </c>
    </row>
    <row r="18" spans="1:4">
      <c r="A18" s="21" t="s">
        <v>274</v>
      </c>
      <c r="B18" s="15" t="s">
        <v>275</v>
      </c>
      <c r="C18" s="22" t="s">
        <v>268</v>
      </c>
      <c r="D18" s="22" t="s">
        <v>287</v>
      </c>
    </row>
    <row r="19" spans="1:4">
      <c r="A19" s="21" t="s">
        <v>274</v>
      </c>
      <c r="B19" s="15" t="s">
        <v>275</v>
      </c>
      <c r="C19" s="22" t="s">
        <v>269</v>
      </c>
      <c r="D19" s="22" t="s">
        <v>287</v>
      </c>
    </row>
    <row r="20" spans="1:4">
      <c r="A20" s="21" t="s">
        <v>288</v>
      </c>
      <c r="B20" s="15" t="s">
        <v>275</v>
      </c>
      <c r="C20" s="22" t="s">
        <v>289</v>
      </c>
      <c r="D20" s="22"/>
    </row>
    <row r="21" spans="1:4">
      <c r="A21" s="21" t="s">
        <v>288</v>
      </c>
      <c r="B21" s="15" t="s">
        <v>290</v>
      </c>
      <c r="C21" s="22" t="s">
        <v>291</v>
      </c>
      <c r="D21" s="22"/>
    </row>
    <row r="22" spans="1:4">
      <c r="A22" s="21" t="s">
        <v>288</v>
      </c>
      <c r="B22" s="15" t="s">
        <v>292</v>
      </c>
      <c r="C22" s="22" t="s">
        <v>293</v>
      </c>
      <c r="D22" s="22"/>
    </row>
    <row r="23" spans="1:4">
      <c r="A23" s="21" t="s">
        <v>294</v>
      </c>
      <c r="B23" s="15" t="s">
        <v>275</v>
      </c>
      <c r="C23" s="22" t="s">
        <v>295</v>
      </c>
      <c r="D23" s="22" t="s">
        <v>296</v>
      </c>
    </row>
    <row r="24" spans="1:4">
      <c r="A24" s="21" t="s">
        <v>294</v>
      </c>
      <c r="B24" s="15" t="s">
        <v>275</v>
      </c>
      <c r="C24" s="22" t="s">
        <v>297</v>
      </c>
      <c r="D24" s="22" t="s">
        <v>298</v>
      </c>
    </row>
    <row r="25" spans="1:4">
      <c r="A25" s="21" t="s">
        <v>294</v>
      </c>
      <c r="B25" s="15" t="s">
        <v>275</v>
      </c>
      <c r="C25" s="22" t="s">
        <v>299</v>
      </c>
      <c r="D25" s="22" t="s">
        <v>300</v>
      </c>
    </row>
    <row r="26" spans="1:4">
      <c r="A26" s="21" t="s">
        <v>294</v>
      </c>
      <c r="B26" s="15" t="s">
        <v>290</v>
      </c>
      <c r="C26" s="22" t="s">
        <v>301</v>
      </c>
      <c r="D26" s="22"/>
    </row>
    <row r="27" spans="1:4">
      <c r="A27" s="21" t="s">
        <v>294</v>
      </c>
      <c r="B27" s="15" t="s">
        <v>302</v>
      </c>
      <c r="C27" s="22" t="s">
        <v>303</v>
      </c>
      <c r="D27" s="22"/>
    </row>
    <row r="28" spans="1:4">
      <c r="A28" s="21" t="s">
        <v>304</v>
      </c>
      <c r="B28" s="15" t="s">
        <v>302</v>
      </c>
      <c r="C28" s="22" t="s">
        <v>305</v>
      </c>
      <c r="D28" s="22"/>
    </row>
    <row r="29" spans="1:4">
      <c r="A29" s="21" t="s">
        <v>306</v>
      </c>
      <c r="B29" s="15" t="s">
        <v>302</v>
      </c>
      <c r="C29" s="22" t="s">
        <v>307</v>
      </c>
      <c r="D29" s="22"/>
    </row>
  </sheetData>
  <autoFilter ref="A1:D2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Recommendation</vt:lpstr>
      <vt:lpstr>Chart data</vt:lpstr>
      <vt:lpstr>Charts</vt:lpstr>
      <vt:lpstr>Quarter by quarter where the de</vt:lpstr>
      <vt:lpstr>The money, weighted by the odds</vt:lpstr>
      <vt:lpstr>What sitting still costs you</vt:lpstr>
      <vt:lpstr>How long your past deals actual</vt:lpstr>
      <vt:lpstr>Assumptions</vt:lpstr>
      <vt:lpstr>Run 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2026-09-21T18:08:31Z</dcterms:created>
  <dcterms:modified xsi:type="dcterms:W3CDTF">2026-09-21T18:08:31Z</dcterms:modified>
</cp:coreProperties>
</file>