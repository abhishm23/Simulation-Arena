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log'!$A$1:$D$45</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<sst xmlns="http://schemas.openxmlformats.org/spreadsheetml/2006/main" count="747" uniqueCount="509">
  <si>
    <t>Simulation Arena</t>
  </si>
  <si>
    <t>Deal Approval &amp; Margin Balancing</t>
  </si>
  <si>
    <t>No discount makes money on these numbers: even the least-bad one (0%) loses $2,308.54M. The deal is unprofitable before any discount is given - the fix is the cost to deliver or the price, not the size of the concession.</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</si>
  <si>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</si>
  <si>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</si>
  <si>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</si>
  <si>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</si>
  <si>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run_dba653f0bc68</t>
  </si>
  <si>
    <t>Generated</t>
  </si>
  <si>
    <t>21 Sep 2026 21:29</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</si>
  <si>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</si>
  <si>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</si>
  <si>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</si>
  <si>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</si>
  <si>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</si>
  <si>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</si>
  <si>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</si>
  <si>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</si>
  <si>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</si>
  <si>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</si>
  <si>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</si>
  <si>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</si>
  <si>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</si>
  <si>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No discount makes money here - 0% loses the least.</t>
  </si>
  <si>
    <t>rep asked for 25%</t>
  </si>
  <si>
    <t>Expected profit at that discount</t>
  </si>
  <si>
    <t>-$2,308.54M</t>
  </si>
  <si>
    <t>This is a loss, not a profit: on these numbers the deal costs more to deliver than it sells for.</t>
  </si>
  <si>
    <t>-</t>
  </si>
  <si>
    <t>Discount range that loses the least</t>
  </si>
  <si>
    <t>Only one discount stands out - the model cannot tell any neighbouring discount apart from it. The model's own margin of error here is about $126.13M, so treat this as the best single number - the next discount along already costs real money.</t>
  </si>
  <si>
    <t>rep asked for 25% - outside the range</t>
  </si>
  <si>
    <t>Where it starts to genuinely cost you</t>
  </si>
  <si>
    <t>2%</t>
  </si>
  <si>
    <t>At 2% the expected profit falls $247.03M below the best. That gap is wider than the model's own margin of error, so the loss is real.</t>
  </si>
  <si>
    <t>costs about $247.03M</t>
  </si>
  <si>
    <t>Expected profit if you cave in</t>
  </si>
  <si>
    <t>-$9,777.32M</t>
  </si>
  <si>
    <t>What 25% actually earns you.</t>
  </si>
  <si>
    <t>-$7,468.79M vs the optimum</t>
  </si>
  <si>
    <t>Profit given away</t>
  </si>
  <si>
    <t>$7,468.79M</t>
  </si>
  <si>
    <t>Buying +49 points of win probability costs you this much.</t>
  </si>
  <si>
    <t>Odds of winning at the best discount</t>
  </si>
  <si>
    <t>36.9%</t>
  </si>
  <si>
    <t>The chance the deal lands.</t>
  </si>
  <si>
    <t>Worst case (1-in-20)</t>
  </si>
  <si>
    <t>-$8,004.55M</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</si>
  <si>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</si>
  <si>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</si>
  <si>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</si>
  <si>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</si>
  <si>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</si>
  <si>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</si>
  <si>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</si>
  <si>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</si>
  <si>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</si>
  <si>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</si>
  <si>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</si>
  <si>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(-$2,308.54M).</t>
  </si>
  <si>
    <t>3.</t>
  </si>
  <si>
    <t>The requested 25% delivers -$9,777.32M - $7,468.79M less than the peak, which is more than the model's margin of error.</t>
  </si>
  <si>
    <t>4.</t>
  </si>
  <si>
    <t>Win probability only improves +49 points for that giveaway.</t>
  </si>
  <si>
    <t>What to do</t>
  </si>
  <si>
    <t>Action 1</t>
  </si>
  <si>
    <t>Do not approve a discount on these numbers. At the best level we tested (0%) the deal still loses $2,308.54M.</t>
  </si>
  <si>
    <t>Action 2</t>
  </si>
  <si>
    <t>Fix the deal first: the average margin in your file is -26.5%, so the cost to deliver has to come down (or the price go up) before any discount makes sense.</t>
  </si>
  <si>
    <t>Action 3</t>
  </si>
  <si>
    <t>Above 0% (the top of the safe range), require VP sign-off: the 25% being asked for costs about $298.75M per point of discount.</t>
  </si>
  <si>
    <t>Action 4</t>
  </si>
  <si>
    <t>At 25% there is a 100% chance of breaching the 12.0% margin floor - add a volume or term commitment to earn the deeper discount.</t>
  </si>
  <si>
    <t>Trade-off</t>
  </si>
  <si>
    <t>You are trading $7,468.79M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</si>
  <si>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</si>
  <si>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</si>
  <si>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</si>
  <si>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</si>
  <si>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</si>
  <si>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</si>
  <si>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</si>
  <si>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</si>
  <si>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</si>
  <si>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</si>
  <si>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</si>
  <si>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</si>
  <si>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</si>
  <si>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</si>
  <si>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</si>
  <si>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</si>
  <si>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</si>
  <si>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</si>
  <si>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</si>
  <si>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</si>
  <si>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</si>
  <si>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</si>
  <si>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</si>
  <si>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</si>
  <si>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</si>
  <si>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</si>
  <si>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</si>
  <si>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-11,072,924,507.77</t>
  </si>
  <si>
    <t>-10,697,571,134.62</t>
  </si>
  <si>
    <t>-10,322,217,761.48</t>
  </si>
  <si>
    <t>-9,946,864,388.33</t>
  </si>
  <si>
    <t>-9,571,511,015.19</t>
  </si>
  <si>
    <t>-9,196,157,642.05</t>
  </si>
  <si>
    <t>-8,820,804,268.90</t>
  </si>
  <si>
    <t>-8,445,450,895.76</t>
  </si>
  <si>
    <t>-8,070,097,522.61</t>
  </si>
  <si>
    <t>-7,694,744,149.47</t>
  </si>
  <si>
    <t>-7,319,390,776.32</t>
  </si>
  <si>
    <t>-6,944,037,403.18</t>
  </si>
  <si>
    <t>-6,568,684,030.03</t>
  </si>
  <si>
    <t>-6,193,330,656.89</t>
  </si>
  <si>
    <t>-5,817,977,283.74</t>
  </si>
  <si>
    <t>-5,442,623,910.60</t>
  </si>
  <si>
    <t>-5,067,270,537.45</t>
  </si>
  <si>
    <t>-4,691,917,164.31</t>
  </si>
  <si>
    <t>-4,316,563,791.16</t>
  </si>
  <si>
    <t>-3,941,210,418.02</t>
  </si>
  <si>
    <t>-3,565,857,044.87</t>
  </si>
  <si>
    <t>-3,190,503,671.73</t>
  </si>
  <si>
    <t>-2,815,150,298.59</t>
  </si>
  <si>
    <t>-2,439,796,925.44</t>
  </si>
  <si>
    <t>-2,064,443,552.30</t>
  </si>
  <si>
    <t>-1,689,090,179.15</t>
  </si>
  <si>
    <t>-1,313,736,806.01</t>
  </si>
  <si>
    <t>-938,383,432.86</t>
  </si>
  <si>
    <t>-563,030,059.72</t>
  </si>
  <si>
    <t>-187,676,686.57</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</si>
  <si>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</si>
  <si>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</si>
  <si>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</si>
  <si>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</si>
  <si>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</si>
  <si>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</si>
  <si>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</si>
  <si>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</si>
  <si>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</si>
  <si>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</si>
  <si>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</si>
  <si>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</si>
  <si>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-$6,201,889,505</t>
  </si>
  <si>
    <t>-$2,308,535,484</t>
  </si>
  <si>
    <t>-$8,004,553,030</t>
  </si>
  <si>
    <t>100% chance</t>
  </si>
  <si>
    <t>2.5%</t>
  </si>
  <si>
    <t>$20,389,179,933</t>
  </si>
  <si>
    <t>-$6,706,571,208</t>
  </si>
  <si>
    <t>38.3%</t>
  </si>
  <si>
    <t>-$2,555,567,798</t>
  </si>
  <si>
    <t>-$8,539,590,163</t>
  </si>
  <si>
    <t>5.0%</t>
  </si>
  <si>
    <t>$19,866,380,448</t>
  </si>
  <si>
    <t>-$7,245,794,854</t>
  </si>
  <si>
    <t>40.1%</t>
  </si>
  <si>
    <t>-$2,947,212,545</t>
  </si>
  <si>
    <t>-$9,152,443,281</t>
  </si>
  <si>
    <t>7.5%</t>
  </si>
  <si>
    <t>$19,343,580,962</t>
  </si>
  <si>
    <t>-$7,777,393,386</t>
  </si>
  <si>
    <t>43.1%</t>
  </si>
  <si>
    <t>-$3,367,702,197</t>
  </si>
  <si>
    <t>-$9,729,105,416</t>
  </si>
  <si>
    <t>10.0%</t>
  </si>
  <si>
    <t>$18,820,781,477</t>
  </si>
  <si>
    <t>-$8,296,980,644</t>
  </si>
  <si>
    <t>47.5%</t>
  </si>
  <si>
    <t>-$3,902,810,370</t>
  </si>
  <si>
    <t>-$10,215,926,491</t>
  </si>
  <si>
    <t>12.5%</t>
  </si>
  <si>
    <t>$18,297,981,991</t>
  </si>
  <si>
    <t>-$8,764,796,546</t>
  </si>
  <si>
    <t>53.2%</t>
  </si>
  <si>
    <t>-$4,635,759,771</t>
  </si>
  <si>
    <t>-$10,847,567,068</t>
  </si>
  <si>
    <t>15.0%</t>
  </si>
  <si>
    <t>$17,775,182,506</t>
  </si>
  <si>
    <t>-$9,326,860,393</t>
  </si>
  <si>
    <t>60.3%</t>
  </si>
  <si>
    <t>-$5,657,750,161</t>
  </si>
  <si>
    <t>-$11,598,578,941</t>
  </si>
  <si>
    <t>17.5%</t>
  </si>
  <si>
    <t>$17,252,383,021</t>
  </si>
  <si>
    <t>-$9,818,238,699</t>
  </si>
  <si>
    <t>67.8%</t>
  </si>
  <si>
    <t>-$6,657,512,916</t>
  </si>
  <si>
    <t>-$12,172,999,467</t>
  </si>
  <si>
    <t>20.0%</t>
  </si>
  <si>
    <t>$16,729,583,535</t>
  </si>
  <si>
    <t>-$10,361,989,236</t>
  </si>
  <si>
    <t>75.2%</t>
  </si>
  <si>
    <t>-$7,795,504,151</t>
  </si>
  <si>
    <t>-$12,834,327,807</t>
  </si>
  <si>
    <t>22.5%</t>
  </si>
  <si>
    <t>$16,206,784,050</t>
  </si>
  <si>
    <t>-$10,897,730,890</t>
  </si>
  <si>
    <t>81.3%</t>
  </si>
  <si>
    <t>-$8,890,079,549</t>
  </si>
  <si>
    <t>-$13,416,959,141</t>
  </si>
  <si>
    <t>25.0%</t>
  </si>
  <si>
    <t>$15,683,984,564</t>
  </si>
  <si>
    <t>-$11,429,738,228</t>
  </si>
  <si>
    <t>85.9%</t>
  </si>
  <si>
    <t>-$9,777,320,820</t>
  </si>
  <si>
    <t>-$13,980,006,998</t>
  </si>
  <si>
    <t>27.5%</t>
  </si>
  <si>
    <t>$15,161,185,079</t>
  </si>
  <si>
    <t>-$11,963,274,230</t>
  </si>
  <si>
    <t>89.2%</t>
  </si>
  <si>
    <t>-$10,637,172,029</t>
  </si>
  <si>
    <t>-$14,527,808,821</t>
  </si>
  <si>
    <t>30.0%</t>
  </si>
  <si>
    <t>$14,638,385,593</t>
  </si>
  <si>
    <t>-$12,510,726,465</t>
  </si>
  <si>
    <t>91.4%</t>
  </si>
  <si>
    <t>-$11,439,742,146</t>
  </si>
  <si>
    <t>-$15,160,862,275</t>
  </si>
  <si>
    <t>32.5%</t>
  </si>
  <si>
    <t>$14,115,586,108</t>
  </si>
  <si>
    <t>-$13,003,729,323</t>
  </si>
  <si>
    <t>92.7%</t>
  </si>
  <si>
    <t>-$12,047,025,477</t>
  </si>
  <si>
    <t>-$15,664,697,443</t>
  </si>
  <si>
    <t>35.0%</t>
  </si>
  <si>
    <t>$13,592,786,622</t>
  </si>
  <si>
    <t>-$13,544,412,280</t>
  </si>
  <si>
    <t>93.4%</t>
  </si>
  <si>
    <t>-$12,675,455,223</t>
  </si>
  <si>
    <t>-$16,147,729,948</t>
  </si>
  <si>
    <t>37.5%</t>
  </si>
  <si>
    <t>$13,069,987,137</t>
  </si>
  <si>
    <t>-$14,015,285,361</t>
  </si>
  <si>
    <t>93.9%</t>
  </si>
  <si>
    <t>-$13,153,227,314</t>
  </si>
  <si>
    <t>-$16,603,206,425</t>
  </si>
  <si>
    <t>40.0%</t>
  </si>
  <si>
    <t>$12,547,187,651</t>
  </si>
  <si>
    <t>-$14,564,680,547</t>
  </si>
  <si>
    <t>94.1%</t>
  </si>
  <si>
    <t>-$13,716,886,764</t>
  </si>
  <si>
    <t>-$17,179,833,135</t>
  </si>
  <si>
    <t>Row 1 maximises expected profit.</t>
  </si>
  <si>
    <t>The decision in one line</t>
  </si>
  <si>
    <t>What changes if you approve the discount being asked for.</t>
  </si>
  <si>
    <t>Column 1</t>
  </si>
  <si>
    <t>Best (0%)</t>
  </si>
  <si>
    <t>Asked (25%)</t>
  </si>
  <si>
    <t>Difference</t>
  </si>
  <si>
    <t>+25.0 pts</t>
  </si>
  <si>
    <t>+49.0 pts</t>
  </si>
  <si>
    <t>-$5,227,848,723</t>
  </si>
  <si>
    <t>-$7,468,785,336</t>
  </si>
  <si>
    <t>Range where the answer is the same</t>
  </si>
  <si>
    <t>outside it</t>
  </si>
  <si>
    <t>margin of error $126.13M</t>
  </si>
  <si>
    <t>The range where the answer is the same</t>
  </si>
  <si>
    <t>Every discount we tested, how far it falls short of the best, and whether that shortfall is real money or just the model's own margin of error.</t>
  </si>
  <si>
    <t>Short of the best</t>
  </si>
  <si>
    <t>Inside the range?</t>
  </si>
  <si>
    <t>$0</t>
  </si>
  <si>
    <t>Inside</t>
  </si>
  <si>
    <t>safe to approve</t>
  </si>
  <si>
    <t>$247,032,313</t>
  </si>
  <si>
    <t>Outside</t>
  </si>
  <si>
    <t>costs you $247.03M</t>
  </si>
  <si>
    <t>$638,677,060</t>
  </si>
  <si>
    <t>costs you $638.68M</t>
  </si>
  <si>
    <t>$1,059,166,713</t>
  </si>
  <si>
    <t>costs you $1,059.17M</t>
  </si>
  <si>
    <t>$1,594,274,886</t>
  </si>
  <si>
    <t>costs you $1,594.27M</t>
  </si>
  <si>
    <t>$2,327,224,286</t>
  </si>
  <si>
    <t>costs you $2,327.22M</t>
  </si>
  <si>
    <t>$3,349,214,676</t>
  </si>
  <si>
    <t>costs you $3,349.21M</t>
  </si>
  <si>
    <t>$4,348,977,431</t>
  </si>
  <si>
    <t>costs you $4,348.98M</t>
  </si>
  <si>
    <t>$5,486,968,667</t>
  </si>
  <si>
    <t>costs you $5,486.97M</t>
  </si>
  <si>
    <t>$6,581,544,065</t>
  </si>
  <si>
    <t>costs you $6,581.54M</t>
  </si>
  <si>
    <t>$7,468,785,336</t>
  </si>
  <si>
    <t>costs you $7,468.79M</t>
  </si>
  <si>
    <t>$8,328,636,545</t>
  </si>
  <si>
    <t>costs you $8,328.64M</t>
  </si>
  <si>
    <t>$9,131,206,662</t>
  </si>
  <si>
    <t>costs you $9,131.21M</t>
  </si>
  <si>
    <t>$9,738,489,992</t>
  </si>
  <si>
    <t>costs you $9,738.49M</t>
  </si>
  <si>
    <t>$10,366,919,738</t>
  </si>
  <si>
    <t>costs you $10,366.92M</t>
  </si>
  <si>
    <t>$10,844,691,829</t>
  </si>
  <si>
    <t>costs you $10,844.69M</t>
  </si>
  <si>
    <t>$11,408,351,279</t>
  </si>
  <si>
    <t>costs you $11,408.35M</t>
  </si>
  <si>
    <t>Highlighted rows are the range where the answer is the same (0%) - within about $126.13M of the best.</t>
  </si>
  <si>
    <t>Recommended discount per deal (top 25)</t>
  </si>
  <si>
    <t>The same logic applied to each deal individually.</t>
  </si>
  <si>
    <t>Deal</t>
  </si>
  <si>
    <t>Customer</t>
  </si>
  <si>
    <t>Margin</t>
  </si>
  <si>
    <t>Best discount</t>
  </si>
  <si>
    <t>Q-000011589</t>
  </si>
  <si>
    <t>Acct-226235</t>
  </si>
  <si>
    <t>$24,000,000</t>
  </si>
  <si>
    <t>-38.2%</t>
  </si>
  <si>
    <t>-$3,391,345</t>
  </si>
  <si>
    <t>Q-000009396</t>
  </si>
  <si>
    <t>Acct-223884</t>
  </si>
  <si>
    <t>-39.4%</t>
  </si>
  <si>
    <t>-$3,490,019</t>
  </si>
  <si>
    <t>Q-000009047</t>
  </si>
  <si>
    <t>Acct-090640</t>
  </si>
  <si>
    <t>-28.1%</t>
  </si>
  <si>
    <t>-$2,491,751</t>
  </si>
  <si>
    <t>Q-000008091</t>
  </si>
  <si>
    <t>Acct-110274</t>
  </si>
  <si>
    <t>$19,296,863</t>
  </si>
  <si>
    <t>-39.7%</t>
  </si>
  <si>
    <t>-$2,829,654</t>
  </si>
  <si>
    <t>Q-000007533</t>
  </si>
  <si>
    <t>Acct-062342</t>
  </si>
  <si>
    <t>$16,052,463</t>
  </si>
  <si>
    <t>-14.0%</t>
  </si>
  <si>
    <t>-$832,133</t>
  </si>
  <si>
    <t>Q-000018826</t>
  </si>
  <si>
    <t>Acct-138872</t>
  </si>
  <si>
    <t>$14,565,883</t>
  </si>
  <si>
    <t>-9.4%</t>
  </si>
  <si>
    <t>-$505,239</t>
  </si>
  <si>
    <t>Q-000002411</t>
  </si>
  <si>
    <t>Acct-019732</t>
  </si>
  <si>
    <t>$14,340,308</t>
  </si>
  <si>
    <t>-17.7%</t>
  </si>
  <si>
    <t>-$938,218</t>
  </si>
  <si>
    <t>Q-000006273</t>
  </si>
  <si>
    <t>Acct-125458</t>
  </si>
  <si>
    <t>$14,145,541</t>
  </si>
  <si>
    <t>-11.5%</t>
  </si>
  <si>
    <t>-$599,155</t>
  </si>
  <si>
    <t>Q-000005246</t>
  </si>
  <si>
    <t>Acct-233590</t>
  </si>
  <si>
    <t>$14,094,974</t>
  </si>
  <si>
    <t>-15.4%</t>
  </si>
  <si>
    <t>-$802,001</t>
  </si>
  <si>
    <t>Q-000013379</t>
  </si>
  <si>
    <t>Acct-205409</t>
  </si>
  <si>
    <t>$13,878,192</t>
  </si>
  <si>
    <t>-33.0%</t>
  </si>
  <si>
    <t>-$1,693,461</t>
  </si>
  <si>
    <t>Q-000004222</t>
  </si>
  <si>
    <t>Acct-219531</t>
  </si>
  <si>
    <t>$13,822,773</t>
  </si>
  <si>
    <t>-10.9%</t>
  </si>
  <si>
    <t>-$555,899</t>
  </si>
  <si>
    <t>Q-000009736</t>
  </si>
  <si>
    <t>Acct-113136</t>
  </si>
  <si>
    <t>$13,452,114</t>
  </si>
  <si>
    <t>-26.1%</t>
  </si>
  <si>
    <t>-$1,295,886</t>
  </si>
  <si>
    <t>Q-000017300</t>
  </si>
  <si>
    <t>Acct-007220</t>
  </si>
  <si>
    <t>$13,422,614</t>
  </si>
  <si>
    <t>-17.5%</t>
  </si>
  <si>
    <t>-$868,789</t>
  </si>
  <si>
    <t>Q-000000139</t>
  </si>
  <si>
    <t>Acct-108061</t>
  </si>
  <si>
    <t>$13,011,806</t>
  </si>
  <si>
    <t>-41.2%</t>
  </si>
  <si>
    <t>-$1,979,664</t>
  </si>
  <si>
    <t>Q-000009880</t>
  </si>
  <si>
    <t>Acct-201403</t>
  </si>
  <si>
    <t>$12,782,137</t>
  </si>
  <si>
    <t>-23.9%</t>
  </si>
  <si>
    <t>-$1,127,369</t>
  </si>
  <si>
    <t>Q-000001755</t>
  </si>
  <si>
    <t>Acct-058430</t>
  </si>
  <si>
    <t>$12,706,362</t>
  </si>
  <si>
    <t>-9.2%</t>
  </si>
  <si>
    <t>-$430,973</t>
  </si>
  <si>
    <t>Q-000001411</t>
  </si>
  <si>
    <t>Acct-122168</t>
  </si>
  <si>
    <t>$12,567,749</t>
  </si>
  <si>
    <t>-33.8%</t>
  </si>
  <si>
    <t>-$1,569,967</t>
  </si>
  <si>
    <t>Q-000010633</t>
  </si>
  <si>
    <t>Acct-176419</t>
  </si>
  <si>
    <t>$12,154,931</t>
  </si>
  <si>
    <t>-$488,694</t>
  </si>
  <si>
    <t>Q-000013798</t>
  </si>
  <si>
    <t>Acct-106373</t>
  </si>
  <si>
    <t>$11,654,026</t>
  </si>
  <si>
    <t>-31.0%</t>
  </si>
  <si>
    <t>-$1,333,799</t>
  </si>
  <si>
    <t>Q-000010069</t>
  </si>
  <si>
    <t>Acct-070297</t>
  </si>
  <si>
    <t>$11,489,319</t>
  </si>
  <si>
    <t>-9.7%</t>
  </si>
  <si>
    <t>-$411,261</t>
  </si>
  <si>
    <t>Q-000013273</t>
  </si>
  <si>
    <t>Acct-130561</t>
  </si>
  <si>
    <t>$11,410,414</t>
  </si>
  <si>
    <t>-31.5%</t>
  </si>
  <si>
    <t>-$1,327,590</t>
  </si>
  <si>
    <t>Q-000007138</t>
  </si>
  <si>
    <t>Acct-039861</t>
  </si>
  <si>
    <t>$11,334,211</t>
  </si>
  <si>
    <t>-9.3%</t>
  </si>
  <si>
    <t>-$390,313</t>
  </si>
  <si>
    <t>Q-000005723</t>
  </si>
  <si>
    <t>Acct-178920</t>
  </si>
  <si>
    <t>$11,250,338</t>
  </si>
  <si>
    <t>-42.0%</t>
  </si>
  <si>
    <t>-$1,746,544</t>
  </si>
  <si>
    <t>Q-000001338</t>
  </si>
  <si>
    <t>Acct-100033</t>
  </si>
  <si>
    <t>$11,225,300</t>
  </si>
  <si>
    <t>-22.2%</t>
  </si>
  <si>
    <t>-$921,328</t>
  </si>
  <si>
    <t>Q-000009264</t>
  </si>
  <si>
    <t>Acct-188657</t>
  </si>
  <si>
    <t>$11,173,578</t>
  </si>
  <si>
    <t>-32.8%</t>
  </si>
  <si>
    <t>-$1,353,554</t>
  </si>
  <si>
    <t>Assumptions and caveats</t>
  </si>
  <si>
    <t>Watch</t>
  </si>
  <si>
    <t>!</t>
  </si>
  <si>
    <t>Your history runs at a negative average margin (-26.5%): on average each deal costs more to deliver than it sells for. Every discount therefore loses money, and the result shows the least-bad option rather than a good one. Treat this as a problem with the deal's cost or price, not with the discount.</t>
  </si>
  <si>
    <t>At 25% discount there is a 100% chance the deal actually costs you money to deliver even if you win it.</t>
  </si>
  <si>
    <t>Assumed</t>
  </si>
  <si>
    <t>List value $20,911,979,419, cost $27,110,892,901 (-26.5%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</si>
  <si>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</si>
  <si>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</si>
  <si>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</si>
  <si>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</si>
  <si>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</si>
  <si>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$126.13M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</si>
  <si>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</si>
  <si>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</si>
  <si>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</si>
  <si>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</si>
  <si>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</si>
  <si>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</si>
  <si>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</si>
  <si>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</si>
  <si>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</si>
  <si>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</si>
  <si>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</si>
  <si>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</si>
  <si>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</si>
  <si>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</si>
  <si>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</si>
  <si>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</si>
  <si>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</si>
  <si>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</si>
  <si>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</si>
  <si>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</si>
  <si>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neg_uc1_all.csv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</si>
  <si>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</si>
  <si>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</si>
  <si>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</si>
  <si>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</si>
  <si>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</si>
  <si>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</si>
  <si>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</si>
  <si>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</si>
  <si>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</si>
  <si>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</si>
  <si>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</si>
  <si>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1.02s</t>
  </si>
  <si>
    <t>Read 20,000 records into the model.</t>
  </si>
  <si>
    <t>simulate</t>
  </si>
  <si>
    <t>Running the simulation…</t>
  </si>
  <si>
    <t>read</t>
  </si>
  <si>
    <t>Reading the deal you gave us...</t>
  </si>
  <si>
    <t>1.04s</t>
  </si>
  <si>
    <t>Found 20000 deal(s) worth $20,911.98M at an average -26.5% margin.</t>
  </si>
  <si>
    <t>weighted by deal size; total list value 20,911,979,419; Your margin column is written as percentages, so 40 means 40% and 0.5 means half a percent.</t>
  </si>
  <si>
    <t>Your deals run at a negative average margin (-26.5%): on average each deal costs more to deliver than it sells for, so every discount you test loses money. We will show you the least-bad option.</t>
  </si>
  <si>
    <t>Your margin column is written as percentages, so 40 means 40% and 0.5 means half a percent.</t>
  </si>
  <si>
    <t>Cost to deliver is about $26,454.77M.</t>
  </si>
  <si>
    <t>list value 20,911,979,419 x (1 - -0.265)</t>
  </si>
  <si>
    <t>1.06s</t>
  </si>
  <si>
    <t>Added the consumption effects from your file: $656.12M of extra cost to serve.</t>
  </si>
  <si>
    <t>Working out how much a discount really moves the buyer...</t>
  </si>
  <si>
    <t>1.49s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</si>
  <si>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</si>
  <si>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</si>
  <si>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</si>
  <si>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</si>
  <si>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</si>
  <si>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</si>
  <si>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</si>
  <si>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</si>
  <si>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</si>
  <si>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Simulated 70% of the discount levels...</t>
  </si>
  <si>
    <t>1.50s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</si>
  <si>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</si>
  <si>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</si>
  <si>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</si>
  <si>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</si>
  <si>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</si>
  <si>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</si>
  <si>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126,133,122 on a peak of -2,308,535,484</t>
  </si>
  <si>
    <t>1.52s</t>
  </si>
  <si>
    <t>Done. Best discount is 0% (-$2,308.54M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</si>
</sst>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
      <patternFill patternType="solid">
        <fgColor rgb="FFDCFCE7"/>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7" fillId="6" borderId="2" xfId="0" applyFont="1" applyFill="1" applyBorder="1" applyAlignment="1">
      <alignment vertical="top"/>
    </xf>
    <xf numFmtId="0" fontId="11" fillId="3"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-2308535484.49</c:v>
                </c:pt>
                <c:pt idx="1">
                  <c:v>-2555567797.91</c:v>
                </c:pt>
                <c:pt idx="2">
                  <c:v>-2947212544.56</c:v>
                </c:pt>
                <c:pt idx="3">
                  <c:v>-3367702197.42</c:v>
                </c:pt>
                <c:pt idx="4">
                  <c:v>-3902810370.02</c:v>
                </c:pt>
                <c:pt idx="5">
                  <c:v>-4635759770.96</c:v>
                </c:pt>
                <c:pt idx="6">
                  <c:v>-5657750160.86</c:v>
                </c:pt>
                <c:pt idx="7">
                  <c:v>-6657512915.82</c:v>
                </c:pt>
                <c:pt idx="8">
                  <c:v>-7795504151.08</c:v>
                </c:pt>
                <c:pt idx="9">
                  <c:v>-8890079549.209999</c:v>
                </c:pt>
                <c:pt idx="10">
                  <c:v>-9777320820.34</c:v>
                </c:pt>
                <c:pt idx="11">
                  <c:v>-10637172029.31</c:v>
                </c:pt>
                <c:pt idx="12">
                  <c:v>-11439742146.2</c:v>
                </c:pt>
                <c:pt idx="13">
                  <c:v>-12047025476.67</c:v>
                </c:pt>
                <c:pt idx="14">
                  <c:v>-12675455222.57</c:v>
                </c:pt>
                <c:pt idx="15">
                  <c:v>-13153227313.7</c:v>
                </c:pt>
                <c:pt idx="16">
                  <c:v>-13716886763.74</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-6201889504.98</c:v>
                </c:pt>
                <c:pt idx="1">
                  <c:v>-6706571208.09</c:v>
                </c:pt>
                <c:pt idx="2">
                  <c:v>-7245794854</c:v>
                </c:pt>
                <c:pt idx="3">
                  <c:v>-7777393386.09</c:v>
                </c:pt>
                <c:pt idx="4">
                  <c:v>-8296980643.79</c:v>
                </c:pt>
                <c:pt idx="5">
                  <c:v>-8764796545.67</c:v>
                </c:pt>
                <c:pt idx="6">
                  <c:v>-9326860393.030001</c:v>
                </c:pt>
                <c:pt idx="7">
                  <c:v>-9818238699.209999</c:v>
                </c:pt>
                <c:pt idx="8">
                  <c:v>-10361989236.45</c:v>
                </c:pt>
                <c:pt idx="9">
                  <c:v>-10897730889.65</c:v>
                </c:pt>
                <c:pt idx="10">
                  <c:v>-11429738227.82</c:v>
                </c:pt>
                <c:pt idx="11">
                  <c:v>-11963274230.48</c:v>
                </c:pt>
                <c:pt idx="12">
                  <c:v>-12510726465.16</c:v>
                </c:pt>
                <c:pt idx="13">
                  <c:v>-13003729323.39</c:v>
                </c:pt>
                <c:pt idx="14">
                  <c:v>-13544412280.08</c:v>
                </c:pt>
                <c:pt idx="15">
                  <c:v>-14015285361.14</c:v>
                </c:pt>
                <c:pt idx="16">
                  <c:v>-14564680547.24</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-2434668606.85</c:v>
                </c:pt>
                <c:pt idx="1">
                  <c:v>-2434668606.85</c:v>
                </c:pt>
                <c:pt idx="2">
                  <c:v>-2434668606.85</c:v>
                </c:pt>
                <c:pt idx="3">
                  <c:v>-2434668606.85</c:v>
                </c:pt>
                <c:pt idx="4">
                  <c:v>-2434668606.85</c:v>
                </c:pt>
                <c:pt idx="5">
                  <c:v>-2434668606.85</c:v>
                </c:pt>
                <c:pt idx="6">
                  <c:v>-2434668606.85</c:v>
                </c:pt>
                <c:pt idx="7">
                  <c:v>-2434668606.85</c:v>
                </c:pt>
                <c:pt idx="8">
                  <c:v>-2434668606.85</c:v>
                </c:pt>
                <c:pt idx="9">
                  <c:v>-2434668606.85</c:v>
                </c:pt>
                <c:pt idx="10">
                  <c:v>-2434668606.85</c:v>
                </c:pt>
                <c:pt idx="11">
                  <c:v>-2434668606.85</c:v>
                </c:pt>
                <c:pt idx="12">
                  <c:v>-2434668606.85</c:v>
                </c:pt>
                <c:pt idx="13">
                  <c:v>-2434668606.85</c:v>
                </c:pt>
                <c:pt idx="14">
                  <c:v>-2434668606.85</c:v>
                </c:pt>
                <c:pt idx="15">
                  <c:v>-2434668606.85</c:v>
                </c:pt>
                <c:pt idx="16">
                  <c:v>-2434668606.85</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-11,072,924,507.77</c:v>
                </c:pt>
                <c:pt idx="1">
                  <c:v>-10,697,571,134.62</c:v>
                </c:pt>
                <c:pt idx="2">
                  <c:v>-10,322,217,761.48</c:v>
                </c:pt>
                <c:pt idx="3">
                  <c:v>-9,946,864,388.33</c:v>
                </c:pt>
                <c:pt idx="4">
                  <c:v>-9,571,511,015.19</c:v>
                </c:pt>
                <c:pt idx="5">
                  <c:v>-9,196,157,642.05</c:v>
                </c:pt>
                <c:pt idx="6">
                  <c:v>-8,820,804,268.90</c:v>
                </c:pt>
                <c:pt idx="7">
                  <c:v>-8,445,450,895.76</c:v>
                </c:pt>
                <c:pt idx="8">
                  <c:v>-8,070,097,522.61</c:v>
                </c:pt>
                <c:pt idx="9">
                  <c:v>-7,694,744,149.47</c:v>
                </c:pt>
                <c:pt idx="10">
                  <c:v>-7,319,390,776.32</c:v>
                </c:pt>
                <c:pt idx="11">
                  <c:v>-6,944,037,403.18</c:v>
                </c:pt>
                <c:pt idx="12">
                  <c:v>-6,568,684,030.03</c:v>
                </c:pt>
                <c:pt idx="13">
                  <c:v>-6,193,330,656.89</c:v>
                </c:pt>
                <c:pt idx="14">
                  <c:v>-5,817,977,283.74</c:v>
                </c:pt>
                <c:pt idx="15">
                  <c:v>-5,442,623,910.60</c:v>
                </c:pt>
                <c:pt idx="16">
                  <c:v>-5,067,270,537.45</c:v>
                </c:pt>
                <c:pt idx="17">
                  <c:v>-4,691,917,164.31</c:v>
                </c:pt>
                <c:pt idx="18">
                  <c:v>-4,316,563,791.16</c:v>
                </c:pt>
                <c:pt idx="19">
                  <c:v>-3,941,210,418.02</c:v>
                </c:pt>
                <c:pt idx="20">
                  <c:v>-3,565,857,044.87</c:v>
                </c:pt>
                <c:pt idx="21">
                  <c:v>-3,190,503,671.73</c:v>
                </c:pt>
                <c:pt idx="22">
                  <c:v>-2,815,150,298.59</c:v>
                </c:pt>
                <c:pt idx="23">
                  <c:v>-2,439,796,925.44</c:v>
                </c:pt>
                <c:pt idx="24">
                  <c:v>-2,064,443,552.30</c:v>
                </c:pt>
                <c:pt idx="25">
                  <c:v>-1,689,090,179.15</c:v>
                </c:pt>
                <c:pt idx="26">
                  <c:v>-1,313,736,806.01</c:v>
                </c:pt>
                <c:pt idx="27">
                  <c:v>-938,383,432.86</c:v>
                </c:pt>
                <c:pt idx="28">
                  <c:v>-563,030,059.72</c:v>
                </c:pt>
                <c:pt idx="29">
                  <c:v>-187,676,686.57</c:v>
                </c:pt>
              </c:strCache>
            </c:strRef>
          </c:cat>
          <c:val>
            <c:numRef>
              <c:f>'Chart data'!$J$2:$J$31</c:f>
              <c:numCache>
                <c:formatCode>General</c:formatCode>
                <c:ptCount val="30"/>
                <c:pt idx="0">
                  <c:v>2</c:v>
                </c:pt>
                <c:pt idx="1">
                  <c:v>1</c:v>
                </c:pt>
                <c:pt idx="2">
                  <c:v>1</c:v>
                </c:pt>
                <c:pt idx="3">
                  <c:v>5</c:v>
                </c:pt>
                <c:pt idx="4">
                  <c:v>7</c:v>
                </c:pt>
                <c:pt idx="5">
                  <c:v>9</c:v>
                </c:pt>
                <c:pt idx="6">
                  <c:v>22</c:v>
                </c:pt>
                <c:pt idx="7">
                  <c:v>27</c:v>
                </c:pt>
                <c:pt idx="8">
                  <c:v>25</c:v>
                </c:pt>
                <c:pt idx="9">
                  <c:v>34</c:v>
                </c:pt>
                <c:pt idx="10">
                  <c:v>59</c:v>
                </c:pt>
                <c:pt idx="11">
                  <c:v>56</c:v>
                </c:pt>
                <c:pt idx="12">
                  <c:v>69</c:v>
                </c:pt>
                <c:pt idx="13">
                  <c:v>64</c:v>
                </c:pt>
                <c:pt idx="14">
                  <c:v>71</c:v>
                </c:pt>
                <c:pt idx="15">
                  <c:v>52</c:v>
                </c:pt>
                <c:pt idx="16">
                  <c:v>50</c:v>
                </c:pt>
                <c:pt idx="17">
                  <c:v>46</c:v>
                </c:pt>
                <c:pt idx="18">
                  <c:v>46</c:v>
                </c:pt>
                <c:pt idx="19">
                  <c:v>21</c:v>
                </c:pt>
                <c:pt idx="20">
                  <c:v>18</c:v>
                </c:pt>
                <c:pt idx="21">
                  <c:v>9</c:v>
                </c:pt>
                <c:pt idx="22">
                  <c:v>8</c:v>
                </c:pt>
                <c:pt idx="23">
                  <c:v>7</c:v>
                </c:pt>
                <c:pt idx="24">
                  <c:v>0</c:v>
                </c:pt>
                <c:pt idx="25">
                  <c:v>1</c:v>
                </c:pt>
                <c:pt idx="26">
                  <c:v>1</c:v>
                </c:pt>
                <c:pt idx="27">
                  <c:v>0</c:v>
                </c:pt>
                <c:pt idx="28">
                  <c:v>0</c:v>
                </c:pt>
                <c:pt idx="29">
                  <c:v>1289</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11" t="s">
        <v>29</v>
      </c>
      <c r="B19" s="12" t="s">
        <v>22</v>
      </c>
      <c r="C19" s="11" t="s">
        <v>30</v>
      </c>
      <c r="D19" s="11" t="s">
        <v>31</v>
      </c>
    </row>
    <row r="20" spans="1:4">
      <c r="A20" s="9" t="s">
        <v>32</v>
      </c>
      <c r="B20" s="10" t="s">
        <v>33</v>
      </c>
      <c r="C20" s="9" t="s">
        <v>34</v>
      </c>
      <c r="D20" s="9" t="s">
        <v>35</v>
      </c>
    </row>
    <row r="21" spans="1:4">
      <c r="A21" s="11" t="s">
        <v>36</v>
      </c>
      <c r="B21" s="12" t="s">
        <v>37</v>
      </c>
      <c r="C21" s="11" t="s">
        <v>38</v>
      </c>
      <c r="D21" s="11" t="s">
        <v>39</v>
      </c>
    </row>
    <row r="22" spans="1:4">
      <c r="A22" s="11" t="s">
        <v>40</v>
      </c>
      <c r="B22" s="12" t="s">
        <v>41</v>
      </c>
      <c r="C22" s="11" t="s">
        <v>42</v>
      </c>
      <c r="D22" s="11" t="s">
        <v>28</v>
      </c>
    </row>
    <row r="23" spans="1:4">
      <c r="A23" s="13" t="s">
        <v>43</v>
      </c>
      <c r="B23" s="14" t="s">
        <v>44</v>
      </c>
      <c r="C23" s="13" t="s">
        <v>45</v>
      </c>
      <c r="D23" s="13" t="s">
        <v>28</v>
      </c>
    </row>
    <row r="24" spans="1:4">
      <c r="A24" s="9" t="s">
        <v>46</v>
      </c>
      <c r="B24" s="10" t="s">
        <v>47</v>
      </c>
      <c r="C24" s="9" t="s">
        <v>48</v>
      </c>
      <c r="D24" s="9"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8" spans="1:2">
      <c r="A18" s="6" t="s">
        <v>71</v>
      </c>
      <c r="B18" s="3" t="s">
        <v>72</v>
      </c>
    </row>
    <row r="20" spans="1:2">
      <c r="A20" s="4" t="s">
        <v>73</v>
      </c>
    </row>
    <row r="21" spans="1:2">
      <c r="A21" s="6"/>
      <c r="B21" s="3" t="s">
        <v>74</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76</v>
      </c>
      <c r="B1" s="8" t="s">
        <v>94</v>
      </c>
      <c r="C1" s="8" t="s">
        <v>95</v>
      </c>
      <c r="D1" s="8" t="s">
        <v>96</v>
      </c>
      <c r="F1" s="8" t="s">
        <v>98</v>
      </c>
      <c r="G1" s="8" t="s">
        <v>99</v>
      </c>
      <c r="I1" s="8" t="s">
        <v>101</v>
      </c>
      <c r="J1" s="8" t="s">
        <v>132</v>
      </c>
    </row>
    <row r="2" spans="1:10">
      <c r="A2" s="15" t="s">
        <v>77</v>
      </c>
      <c r="B2" s="15">
        <v>-2308535484.49</v>
      </c>
      <c r="C2" s="15">
        <v>-6201889504.98</v>
      </c>
      <c r="D2" s="15">
        <v>-2434668606.85</v>
      </c>
      <c r="F2" s="15" t="s">
        <v>77</v>
      </c>
      <c r="G2" s="15">
        <v>36.94</v>
      </c>
      <c r="I2" s="15" t="s">
        <v>102</v>
      </c>
      <c r="J2" s="15">
        <v>2</v>
      </c>
    </row>
    <row r="3" spans="1:10">
      <c r="A3" s="15" t="s">
        <v>78</v>
      </c>
      <c r="B3" s="15">
        <v>-2555567797.91</v>
      </c>
      <c r="C3" s="15">
        <v>-6706571208.09</v>
      </c>
      <c r="D3" s="15">
        <v>-2434668606.85</v>
      </c>
      <c r="F3" s="15" t="s">
        <v>78</v>
      </c>
      <c r="G3" s="15">
        <v>38.27</v>
      </c>
      <c r="I3" s="15" t="s">
        <v>103</v>
      </c>
      <c r="J3" s="15">
        <v>1</v>
      </c>
    </row>
    <row r="4" spans="1:10">
      <c r="A4" s="15" t="s">
        <v>79</v>
      </c>
      <c r="B4" s="15">
        <v>-2947212544.56</v>
      </c>
      <c r="C4" s="15">
        <v>-7245794854</v>
      </c>
      <c r="D4" s="15">
        <v>-2434668606.85</v>
      </c>
      <c r="F4" s="15" t="s">
        <v>79</v>
      </c>
      <c r="G4" s="15">
        <v>40.08</v>
      </c>
      <c r="I4" s="15" t="s">
        <v>104</v>
      </c>
      <c r="J4" s="15">
        <v>1</v>
      </c>
    </row>
    <row r="5" spans="1:10">
      <c r="A5" s="15" t="s">
        <v>80</v>
      </c>
      <c r="B5" s="15">
        <v>-3367702197.42</v>
      </c>
      <c r="C5" s="15">
        <v>-7777393386.09</v>
      </c>
      <c r="D5" s="15">
        <v>-2434668606.85</v>
      </c>
      <c r="F5" s="15" t="s">
        <v>80</v>
      </c>
      <c r="G5" s="15">
        <v>43.14</v>
      </c>
      <c r="I5" s="15" t="s">
        <v>105</v>
      </c>
      <c r="J5" s="15">
        <v>5</v>
      </c>
    </row>
    <row r="6" spans="1:10">
      <c r="A6" s="15" t="s">
        <v>81</v>
      </c>
      <c r="B6" s="15">
        <v>-3902810370.02</v>
      </c>
      <c r="C6" s="15">
        <v>-8296980643.79</v>
      </c>
      <c r="D6" s="15">
        <v>-2434668606.85</v>
      </c>
      <c r="F6" s="15" t="s">
        <v>81</v>
      </c>
      <c r="G6" s="15">
        <v>47.46</v>
      </c>
      <c r="I6" s="15" t="s">
        <v>106</v>
      </c>
      <c r="J6" s="15">
        <v>7</v>
      </c>
    </row>
    <row r="7" spans="1:10">
      <c r="A7" s="15" t="s">
        <v>82</v>
      </c>
      <c r="B7" s="15">
        <v>-4635759770.96</v>
      </c>
      <c r="C7" s="15">
        <v>-8764796545.67</v>
      </c>
      <c r="D7" s="15">
        <v>-2434668606.85</v>
      </c>
      <c r="F7" s="15" t="s">
        <v>82</v>
      </c>
      <c r="G7" s="15">
        <v>53.18</v>
      </c>
      <c r="I7" s="15" t="s">
        <v>107</v>
      </c>
      <c r="J7" s="15">
        <v>9</v>
      </c>
    </row>
    <row r="8" spans="1:10">
      <c r="A8" s="15" t="s">
        <v>83</v>
      </c>
      <c r="B8" s="15">
        <v>-5657750160.86</v>
      </c>
      <c r="C8" s="15">
        <v>-9326860393.030001</v>
      </c>
      <c r="D8" s="15">
        <v>-2434668606.85</v>
      </c>
      <c r="F8" s="15" t="s">
        <v>83</v>
      </c>
      <c r="G8" s="15">
        <v>60.26</v>
      </c>
      <c r="I8" s="15" t="s">
        <v>108</v>
      </c>
      <c r="J8" s="15">
        <v>22</v>
      </c>
    </row>
    <row r="9" spans="1:10">
      <c r="A9" s="15" t="s">
        <v>84</v>
      </c>
      <c r="B9" s="15">
        <v>-6657512915.82</v>
      </c>
      <c r="C9" s="15">
        <v>-9818238699.209999</v>
      </c>
      <c r="D9" s="15">
        <v>-2434668606.85</v>
      </c>
      <c r="F9" s="15" t="s">
        <v>84</v>
      </c>
      <c r="G9" s="15">
        <v>67.77</v>
      </c>
      <c r="I9" s="15" t="s">
        <v>109</v>
      </c>
      <c r="J9" s="15">
        <v>27</v>
      </c>
    </row>
    <row r="10" spans="1:10">
      <c r="A10" s="15" t="s">
        <v>85</v>
      </c>
      <c r="B10" s="15">
        <v>-7795504151.08</v>
      </c>
      <c r="C10" s="15">
        <v>-10361989236.45</v>
      </c>
      <c r="D10" s="15">
        <v>-2434668606.85</v>
      </c>
      <c r="F10" s="15" t="s">
        <v>85</v>
      </c>
      <c r="G10" s="15">
        <v>75.17</v>
      </c>
      <c r="I10" s="15" t="s">
        <v>110</v>
      </c>
      <c r="J10" s="15">
        <v>25</v>
      </c>
    </row>
    <row r="11" spans="1:10">
      <c r="A11" s="15" t="s">
        <v>86</v>
      </c>
      <c r="B11" s="15">
        <v>-8890079549.209999</v>
      </c>
      <c r="C11" s="15">
        <v>-10897730889.65</v>
      </c>
      <c r="D11" s="15">
        <v>-2434668606.85</v>
      </c>
      <c r="F11" s="15" t="s">
        <v>86</v>
      </c>
      <c r="G11" s="15">
        <v>81.28</v>
      </c>
      <c r="I11" s="15" t="s">
        <v>111</v>
      </c>
      <c r="J11" s="15">
        <v>34</v>
      </c>
    </row>
    <row r="12" spans="1:10">
      <c r="A12" s="15" t="s">
        <v>87</v>
      </c>
      <c r="B12" s="15">
        <v>-9777320820.34</v>
      </c>
      <c r="C12" s="15">
        <v>-11429738227.82</v>
      </c>
      <c r="D12" s="15">
        <v>-2434668606.85</v>
      </c>
      <c r="F12" s="15" t="s">
        <v>87</v>
      </c>
      <c r="G12" s="15">
        <v>85.93000000000001</v>
      </c>
      <c r="I12" s="15" t="s">
        <v>112</v>
      </c>
      <c r="J12" s="15">
        <v>59</v>
      </c>
    </row>
    <row r="13" spans="1:10">
      <c r="A13" s="15" t="s">
        <v>88</v>
      </c>
      <c r="B13" s="15">
        <v>-10637172029.31</v>
      </c>
      <c r="C13" s="15">
        <v>-11963274230.48</v>
      </c>
      <c r="D13" s="15">
        <v>-2434668606.85</v>
      </c>
      <c r="F13" s="15" t="s">
        <v>88</v>
      </c>
      <c r="G13" s="15">
        <v>89.18000000000001</v>
      </c>
      <c r="I13" s="15" t="s">
        <v>113</v>
      </c>
      <c r="J13" s="15">
        <v>56</v>
      </c>
    </row>
    <row r="14" spans="1:10">
      <c r="A14" s="15" t="s">
        <v>89</v>
      </c>
      <c r="B14" s="15">
        <v>-11439742146.2</v>
      </c>
      <c r="C14" s="15">
        <v>-12510726465.16</v>
      </c>
      <c r="D14" s="15">
        <v>-2434668606.85</v>
      </c>
      <c r="F14" s="15" t="s">
        <v>89</v>
      </c>
      <c r="G14" s="15">
        <v>91.40000000000001</v>
      </c>
      <c r="I14" s="15" t="s">
        <v>114</v>
      </c>
      <c r="J14" s="15">
        <v>69</v>
      </c>
    </row>
    <row r="15" spans="1:10">
      <c r="A15" s="15" t="s">
        <v>90</v>
      </c>
      <c r="B15" s="15">
        <v>-12047025476.67</v>
      </c>
      <c r="C15" s="15">
        <v>-13003729323.39</v>
      </c>
      <c r="D15" s="15">
        <v>-2434668606.85</v>
      </c>
      <c r="F15" s="15" t="s">
        <v>90</v>
      </c>
      <c r="G15" s="15">
        <v>92.68000000000001</v>
      </c>
      <c r="I15" s="15" t="s">
        <v>115</v>
      </c>
      <c r="J15" s="15">
        <v>64</v>
      </c>
    </row>
    <row r="16" spans="1:10">
      <c r="A16" s="15" t="s">
        <v>91</v>
      </c>
      <c r="B16" s="15">
        <v>-12675455222.57</v>
      </c>
      <c r="C16" s="15">
        <v>-13544412280.08</v>
      </c>
      <c r="D16" s="15">
        <v>-2434668606.85</v>
      </c>
      <c r="F16" s="15" t="s">
        <v>91</v>
      </c>
      <c r="G16" s="15">
        <v>93.43000000000001</v>
      </c>
      <c r="I16" s="15" t="s">
        <v>116</v>
      </c>
      <c r="J16" s="15">
        <v>71</v>
      </c>
    </row>
    <row r="17" spans="1:10">
      <c r="A17" s="15" t="s">
        <v>92</v>
      </c>
      <c r="B17" s="15">
        <v>-13153227313.7</v>
      </c>
      <c r="C17" s="15">
        <v>-14015285361.14</v>
      </c>
      <c r="D17" s="15">
        <v>-2434668606.85</v>
      </c>
      <c r="F17" s="15" t="s">
        <v>92</v>
      </c>
      <c r="G17" s="15">
        <v>93.90000000000001</v>
      </c>
      <c r="I17" s="15" t="s">
        <v>117</v>
      </c>
      <c r="J17" s="15">
        <v>52</v>
      </c>
    </row>
    <row r="18" spans="1:10">
      <c r="A18" s="15" t="s">
        <v>93</v>
      </c>
      <c r="B18" s="15">
        <v>-13716886763.74</v>
      </c>
      <c r="C18" s="15">
        <v>-14564680547.24</v>
      </c>
      <c r="D18" s="15">
        <v>-2434668606.85</v>
      </c>
      <c r="F18" s="15" t="s">
        <v>93</v>
      </c>
      <c r="G18" s="15">
        <v>94.12</v>
      </c>
      <c r="I18" s="15" t="s">
        <v>118</v>
      </c>
      <c r="J18" s="15">
        <v>50</v>
      </c>
    </row>
    <row r="19" spans="1:10">
      <c r="I19" s="15" t="s">
        <v>119</v>
      </c>
      <c r="J19" s="15">
        <v>46</v>
      </c>
    </row>
    <row r="20" spans="1:10">
      <c r="I20" s="15" t="s">
        <v>120</v>
      </c>
      <c r="J20" s="15">
        <v>46</v>
      </c>
    </row>
    <row r="21" spans="1:10">
      <c r="I21" s="15" t="s">
        <v>121</v>
      </c>
      <c r="J21" s="15">
        <v>21</v>
      </c>
    </row>
    <row r="22" spans="1:10">
      <c r="I22" s="15" t="s">
        <v>122</v>
      </c>
      <c r="J22" s="15">
        <v>18</v>
      </c>
    </row>
    <row r="23" spans="1:10">
      <c r="I23" s="15" t="s">
        <v>123</v>
      </c>
      <c r="J23" s="15">
        <v>9</v>
      </c>
    </row>
    <row r="24" spans="1:10">
      <c r="I24" s="15" t="s">
        <v>124</v>
      </c>
      <c r="J24" s="15">
        <v>8</v>
      </c>
    </row>
    <row r="25" spans="1:10">
      <c r="I25" s="15" t="s">
        <v>125</v>
      </c>
      <c r="J25" s="15">
        <v>7</v>
      </c>
    </row>
    <row r="26" spans="1:10">
      <c r="I26" s="15" t="s">
        <v>126</v>
      </c>
      <c r="J26" s="15">
        <v>0</v>
      </c>
    </row>
    <row r="27" spans="1:10">
      <c r="I27" s="15" t="s">
        <v>127</v>
      </c>
      <c r="J27" s="15">
        <v>1</v>
      </c>
    </row>
    <row r="28" spans="1:10">
      <c r="I28" s="15" t="s">
        <v>128</v>
      </c>
      <c r="J28" s="15">
        <v>1</v>
      </c>
    </row>
    <row r="29" spans="1:10">
      <c r="I29" s="15" t="s">
        <v>129</v>
      </c>
      <c r="J29" s="15">
        <v>0</v>
      </c>
    </row>
    <row r="30" spans="1:10">
      <c r="I30" s="15" t="s">
        <v>130</v>
      </c>
      <c r="J30" s="15">
        <v>0</v>
      </c>
    </row>
    <row r="31" spans="1:10">
      <c r="I31" s="15" t="s">
        <v>131</v>
      </c>
      <c r="J31" s="15">
        <v>1289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6" t="s">
        <v>75</v>
      </c>
    </row>
    <row r="3" spans="2:2">
      <c r="B3" t="s">
        <v>76</v>
      </c>
    </row>
    <row r="4" spans="2:2">
      <c r="B4" s="17" t="s">
        <v>97</v>
      </c>
    </row>
    <row r="25" spans="2:2">
      <c r="B25" t="s">
        <v>98</v>
      </c>
    </row>
    <row r="26" spans="2:2">
      <c r="B26" s="17" t="s">
        <v>100</v>
      </c>
    </row>
    <row r="47" spans="2:2">
      <c r="B47" t="s">
        <v>101</v>
      </c>
    </row>
    <row r="48" spans="2:2">
      <c r="B48" s="17" t="s">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8.7109375" customWidth="1"/>
    <col min="4" max="4" width="13.7109375" customWidth="1"/>
    <col min="5" max="7" width="18.7109375" customWidth="1"/>
  </cols>
  <sheetData>
    <row r="1" spans="1:7">
      <c r="A1" s="4" t="s">
        <v>134</v>
      </c>
    </row>
    <row r="2" spans="1:7">
      <c r="A2" s="18" t="s">
        <v>135</v>
      </c>
    </row>
    <row r="4" spans="1:7" ht="24" customHeight="1">
      <c r="A4" s="8" t="s">
        <v>136</v>
      </c>
      <c r="B4" s="8" t="s">
        <v>137</v>
      </c>
      <c r="C4" s="8" t="s">
        <v>138</v>
      </c>
      <c r="D4" s="8" t="s">
        <v>139</v>
      </c>
      <c r="E4" s="8" t="s">
        <v>94</v>
      </c>
      <c r="F4" s="8" t="s">
        <v>140</v>
      </c>
      <c r="G4" s="8" t="s">
        <v>141</v>
      </c>
    </row>
    <row r="5" spans="1:7">
      <c r="A5" s="19" t="s">
        <v>142</v>
      </c>
      <c r="B5" s="19" t="s">
        <v>143</v>
      </c>
      <c r="C5" s="19" t="s">
        <v>144</v>
      </c>
      <c r="D5" s="19" t="s">
        <v>44</v>
      </c>
      <c r="E5" s="19" t="s">
        <v>145</v>
      </c>
      <c r="F5" s="19" t="s">
        <v>146</v>
      </c>
      <c r="G5" s="19" t="s">
        <v>147</v>
      </c>
    </row>
    <row r="6" spans="1:7">
      <c r="A6" s="15" t="s">
        <v>148</v>
      </c>
      <c r="B6" s="15" t="s">
        <v>149</v>
      </c>
      <c r="C6" s="15" t="s">
        <v>150</v>
      </c>
      <c r="D6" s="15" t="s">
        <v>151</v>
      </c>
      <c r="E6" s="15" t="s">
        <v>152</v>
      </c>
      <c r="F6" s="15" t="s">
        <v>153</v>
      </c>
      <c r="G6" s="15" t="s">
        <v>147</v>
      </c>
    </row>
    <row r="7" spans="1:7">
      <c r="A7" s="15" t="s">
        <v>154</v>
      </c>
      <c r="B7" s="15" t="s">
        <v>155</v>
      </c>
      <c r="C7" s="15" t="s">
        <v>156</v>
      </c>
      <c r="D7" s="15" t="s">
        <v>157</v>
      </c>
      <c r="E7" s="15" t="s">
        <v>158</v>
      </c>
      <c r="F7" s="15" t="s">
        <v>159</v>
      </c>
      <c r="G7" s="15" t="s">
        <v>147</v>
      </c>
    </row>
    <row r="8" spans="1:7">
      <c r="A8" s="15" t="s">
        <v>160</v>
      </c>
      <c r="B8" s="15" t="s">
        <v>161</v>
      </c>
      <c r="C8" s="15" t="s">
        <v>162</v>
      </c>
      <c r="D8" s="15" t="s">
        <v>163</v>
      </c>
      <c r="E8" s="15" t="s">
        <v>164</v>
      </c>
      <c r="F8" s="15" t="s">
        <v>165</v>
      </c>
      <c r="G8" s="15" t="s">
        <v>147</v>
      </c>
    </row>
    <row r="9" spans="1:7">
      <c r="A9" s="15" t="s">
        <v>166</v>
      </c>
      <c r="B9" s="15" t="s">
        <v>167</v>
      </c>
      <c r="C9" s="15" t="s">
        <v>168</v>
      </c>
      <c r="D9" s="15" t="s">
        <v>169</v>
      </c>
      <c r="E9" s="15" t="s">
        <v>170</v>
      </c>
      <c r="F9" s="15" t="s">
        <v>171</v>
      </c>
      <c r="G9" s="15" t="s">
        <v>147</v>
      </c>
    </row>
    <row r="10" spans="1:7">
      <c r="A10" s="15" t="s">
        <v>172</v>
      </c>
      <c r="B10" s="15" t="s">
        <v>173</v>
      </c>
      <c r="C10" s="15" t="s">
        <v>174</v>
      </c>
      <c r="D10" s="15" t="s">
        <v>175</v>
      </c>
      <c r="E10" s="15" t="s">
        <v>176</v>
      </c>
      <c r="F10" s="15" t="s">
        <v>177</v>
      </c>
      <c r="G10" s="15" t="s">
        <v>147</v>
      </c>
    </row>
    <row r="11" spans="1:7">
      <c r="A11" s="15" t="s">
        <v>178</v>
      </c>
      <c r="B11" s="15" t="s">
        <v>179</v>
      </c>
      <c r="C11" s="15" t="s">
        <v>180</v>
      </c>
      <c r="D11" s="15" t="s">
        <v>181</v>
      </c>
      <c r="E11" s="15" t="s">
        <v>182</v>
      </c>
      <c r="F11" s="15" t="s">
        <v>183</v>
      </c>
      <c r="G11" s="15" t="s">
        <v>147</v>
      </c>
    </row>
    <row r="12" spans="1:7">
      <c r="A12" s="15" t="s">
        <v>184</v>
      </c>
      <c r="B12" s="15" t="s">
        <v>185</v>
      </c>
      <c r="C12" s="15" t="s">
        <v>186</v>
      </c>
      <c r="D12" s="15" t="s">
        <v>187</v>
      </c>
      <c r="E12" s="15" t="s">
        <v>188</v>
      </c>
      <c r="F12" s="15" t="s">
        <v>189</v>
      </c>
      <c r="G12" s="15" t="s">
        <v>147</v>
      </c>
    </row>
    <row r="13" spans="1:7">
      <c r="A13" s="15" t="s">
        <v>190</v>
      </c>
      <c r="B13" s="15" t="s">
        <v>191</v>
      </c>
      <c r="C13" s="15" t="s">
        <v>192</v>
      </c>
      <c r="D13" s="15" t="s">
        <v>193</v>
      </c>
      <c r="E13" s="15" t="s">
        <v>194</v>
      </c>
      <c r="F13" s="15" t="s">
        <v>195</v>
      </c>
      <c r="G13" s="15" t="s">
        <v>147</v>
      </c>
    </row>
    <row r="14" spans="1:7">
      <c r="A14" s="15" t="s">
        <v>196</v>
      </c>
      <c r="B14" s="15" t="s">
        <v>197</v>
      </c>
      <c r="C14" s="15" t="s">
        <v>198</v>
      </c>
      <c r="D14" s="15" t="s">
        <v>199</v>
      </c>
      <c r="E14" s="15" t="s">
        <v>200</v>
      </c>
      <c r="F14" s="15" t="s">
        <v>201</v>
      </c>
      <c r="G14" s="15" t="s">
        <v>147</v>
      </c>
    </row>
    <row r="15" spans="1:7">
      <c r="A15" s="15" t="s">
        <v>202</v>
      </c>
      <c r="B15" s="15" t="s">
        <v>203</v>
      </c>
      <c r="C15" s="15" t="s">
        <v>204</v>
      </c>
      <c r="D15" s="15" t="s">
        <v>205</v>
      </c>
      <c r="E15" s="15" t="s">
        <v>206</v>
      </c>
      <c r="F15" s="15" t="s">
        <v>207</v>
      </c>
      <c r="G15" s="15" t="s">
        <v>147</v>
      </c>
    </row>
    <row r="16" spans="1:7">
      <c r="A16" s="15" t="s">
        <v>208</v>
      </c>
      <c r="B16" s="15" t="s">
        <v>209</v>
      </c>
      <c r="C16" s="15" t="s">
        <v>210</v>
      </c>
      <c r="D16" s="15" t="s">
        <v>211</v>
      </c>
      <c r="E16" s="15" t="s">
        <v>212</v>
      </c>
      <c r="F16" s="15" t="s">
        <v>213</v>
      </c>
      <c r="G16" s="15" t="s">
        <v>147</v>
      </c>
    </row>
    <row r="17" spans="1:7">
      <c r="A17" s="15" t="s">
        <v>214</v>
      </c>
      <c r="B17" s="15" t="s">
        <v>215</v>
      </c>
      <c r="C17" s="15" t="s">
        <v>216</v>
      </c>
      <c r="D17" s="15" t="s">
        <v>217</v>
      </c>
      <c r="E17" s="15" t="s">
        <v>218</v>
      </c>
      <c r="F17" s="15" t="s">
        <v>219</v>
      </c>
      <c r="G17" s="15" t="s">
        <v>147</v>
      </c>
    </row>
    <row r="18" spans="1:7">
      <c r="A18" s="15" t="s">
        <v>220</v>
      </c>
      <c r="B18" s="15" t="s">
        <v>221</v>
      </c>
      <c r="C18" s="15" t="s">
        <v>222</v>
      </c>
      <c r="D18" s="15" t="s">
        <v>223</v>
      </c>
      <c r="E18" s="15" t="s">
        <v>224</v>
      </c>
      <c r="F18" s="15" t="s">
        <v>225</v>
      </c>
      <c r="G18" s="15" t="s">
        <v>147</v>
      </c>
    </row>
    <row r="19" spans="1:7">
      <c r="A19" s="15" t="s">
        <v>226</v>
      </c>
      <c r="B19" s="15" t="s">
        <v>227</v>
      </c>
      <c r="C19" s="15" t="s">
        <v>228</v>
      </c>
      <c r="D19" s="15" t="s">
        <v>229</v>
      </c>
      <c r="E19" s="15" t="s">
        <v>230</v>
      </c>
      <c r="F19" s="15" t="s">
        <v>231</v>
      </c>
      <c r="G19" s="15" t="s">
        <v>147</v>
      </c>
    </row>
    <row r="20" spans="1:7">
      <c r="A20" s="15" t="s">
        <v>232</v>
      </c>
      <c r="B20" s="15" t="s">
        <v>233</v>
      </c>
      <c r="C20" s="15" t="s">
        <v>234</v>
      </c>
      <c r="D20" s="15" t="s">
        <v>235</v>
      </c>
      <c r="E20" s="15" t="s">
        <v>236</v>
      </c>
      <c r="F20" s="15" t="s">
        <v>237</v>
      </c>
      <c r="G20" s="15" t="s">
        <v>147</v>
      </c>
    </row>
    <row r="21" spans="1:7">
      <c r="A21" s="15" t="s">
        <v>238</v>
      </c>
      <c r="B21" s="15" t="s">
        <v>239</v>
      </c>
      <c r="C21" s="15" t="s">
        <v>240</v>
      </c>
      <c r="D21" s="15" t="s">
        <v>241</v>
      </c>
      <c r="E21" s="15" t="s">
        <v>242</v>
      </c>
      <c r="F21" s="15" t="s">
        <v>243</v>
      </c>
      <c r="G21" s="15" t="s">
        <v>147</v>
      </c>
    </row>
    <row r="23" spans="1:7">
      <c r="A23" s="18" t="s">
        <v>244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7.7109375" customWidth="1"/>
    <col min="3" max="3" width="18.7109375" customWidth="1"/>
    <col min="4" max="4" width="26.7109375" customWidth="1"/>
  </cols>
  <sheetData>
    <row r="1" spans="1:4">
      <c r="A1" s="4" t="s">
        <v>245</v>
      </c>
    </row>
    <row r="2" spans="1:4">
      <c r="A2" s="18" t="s">
        <v>246</v>
      </c>
    </row>
    <row r="4" spans="1:4" ht="24" customHeight="1">
      <c r="A4" s="8" t="s">
        <v>247</v>
      </c>
      <c r="B4" s="8" t="s">
        <v>248</v>
      </c>
      <c r="C4" s="8" t="s">
        <v>249</v>
      </c>
      <c r="D4" s="8" t="s">
        <v>250</v>
      </c>
    </row>
    <row r="5" spans="1:4">
      <c r="A5" s="15" t="s">
        <v>136</v>
      </c>
      <c r="B5" s="15" t="s">
        <v>142</v>
      </c>
      <c r="C5" s="15" t="s">
        <v>202</v>
      </c>
      <c r="D5" s="15" t="s">
        <v>251</v>
      </c>
    </row>
    <row r="6" spans="1:4">
      <c r="A6" s="15" t="s">
        <v>139</v>
      </c>
      <c r="B6" s="15" t="s">
        <v>44</v>
      </c>
      <c r="C6" s="15" t="s">
        <v>205</v>
      </c>
      <c r="D6" s="15" t="s">
        <v>252</v>
      </c>
    </row>
    <row r="7" spans="1:4">
      <c r="A7" s="15" t="s">
        <v>138</v>
      </c>
      <c r="B7" s="15" t="s">
        <v>144</v>
      </c>
      <c r="C7" s="15" t="s">
        <v>204</v>
      </c>
      <c r="D7" s="15" t="s">
        <v>253</v>
      </c>
    </row>
    <row r="8" spans="1:4">
      <c r="A8" s="15" t="s">
        <v>94</v>
      </c>
      <c r="B8" s="15" t="s">
        <v>145</v>
      </c>
      <c r="C8" s="15" t="s">
        <v>206</v>
      </c>
      <c r="D8" s="15" t="s">
        <v>254</v>
      </c>
    </row>
    <row r="9" spans="1:4">
      <c r="A9" s="15" t="s">
        <v>255</v>
      </c>
      <c r="B9" s="15" t="s">
        <v>22</v>
      </c>
      <c r="C9" s="15" t="s">
        <v>256</v>
      </c>
      <c r="D9" s="15" t="s">
        <v>257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3.7109375" customWidth="1"/>
  </cols>
  <sheetData>
    <row r="1" spans="1:5">
      <c r="A1" s="4" t="s">
        <v>258</v>
      </c>
    </row>
    <row r="2" spans="1:5">
      <c r="A2" s="18" t="s">
        <v>259</v>
      </c>
    </row>
    <row r="4" spans="1:5" ht="24" customHeight="1">
      <c r="A4" s="8" t="s">
        <v>136</v>
      </c>
      <c r="B4" s="8" t="s">
        <v>94</v>
      </c>
      <c r="C4" s="8" t="s">
        <v>260</v>
      </c>
      <c r="D4" s="8" t="s">
        <v>261</v>
      </c>
      <c r="E4" s="8" t="s">
        <v>19</v>
      </c>
    </row>
    <row r="5" spans="1:5">
      <c r="A5" s="19" t="s">
        <v>142</v>
      </c>
      <c r="B5" s="19" t="s">
        <v>145</v>
      </c>
      <c r="C5" s="19" t="s">
        <v>262</v>
      </c>
      <c r="D5" s="19" t="s">
        <v>263</v>
      </c>
      <c r="E5" s="19" t="s">
        <v>264</v>
      </c>
    </row>
    <row r="6" spans="1:5">
      <c r="A6" s="15" t="s">
        <v>148</v>
      </c>
      <c r="B6" s="15" t="s">
        <v>152</v>
      </c>
      <c r="C6" s="15" t="s">
        <v>265</v>
      </c>
      <c r="D6" s="15" t="s">
        <v>266</v>
      </c>
      <c r="E6" s="15" t="s">
        <v>267</v>
      </c>
    </row>
    <row r="7" spans="1:5">
      <c r="A7" s="15" t="s">
        <v>154</v>
      </c>
      <c r="B7" s="15" t="s">
        <v>158</v>
      </c>
      <c r="C7" s="15" t="s">
        <v>268</v>
      </c>
      <c r="D7" s="15" t="s">
        <v>266</v>
      </c>
      <c r="E7" s="15" t="s">
        <v>269</v>
      </c>
    </row>
    <row r="8" spans="1:5">
      <c r="A8" s="15" t="s">
        <v>160</v>
      </c>
      <c r="B8" s="15" t="s">
        <v>164</v>
      </c>
      <c r="C8" s="15" t="s">
        <v>270</v>
      </c>
      <c r="D8" s="15" t="s">
        <v>266</v>
      </c>
      <c r="E8" s="15" t="s">
        <v>271</v>
      </c>
    </row>
    <row r="9" spans="1:5">
      <c r="A9" s="15" t="s">
        <v>166</v>
      </c>
      <c r="B9" s="15" t="s">
        <v>170</v>
      </c>
      <c r="C9" s="15" t="s">
        <v>272</v>
      </c>
      <c r="D9" s="15" t="s">
        <v>266</v>
      </c>
      <c r="E9" s="15" t="s">
        <v>273</v>
      </c>
    </row>
    <row r="10" spans="1:5">
      <c r="A10" s="15" t="s">
        <v>172</v>
      </c>
      <c r="B10" s="15" t="s">
        <v>176</v>
      </c>
      <c r="C10" s="15" t="s">
        <v>274</v>
      </c>
      <c r="D10" s="15" t="s">
        <v>266</v>
      </c>
      <c r="E10" s="15" t="s">
        <v>275</v>
      </c>
    </row>
    <row r="11" spans="1:5">
      <c r="A11" s="15" t="s">
        <v>178</v>
      </c>
      <c r="B11" s="15" t="s">
        <v>182</v>
      </c>
      <c r="C11" s="15" t="s">
        <v>276</v>
      </c>
      <c r="D11" s="15" t="s">
        <v>266</v>
      </c>
      <c r="E11" s="15" t="s">
        <v>277</v>
      </c>
    </row>
    <row r="12" spans="1:5">
      <c r="A12" s="15" t="s">
        <v>184</v>
      </c>
      <c r="B12" s="15" t="s">
        <v>188</v>
      </c>
      <c r="C12" s="15" t="s">
        <v>278</v>
      </c>
      <c r="D12" s="15" t="s">
        <v>266</v>
      </c>
      <c r="E12" s="15" t="s">
        <v>279</v>
      </c>
    </row>
    <row r="13" spans="1:5">
      <c r="A13" s="15" t="s">
        <v>190</v>
      </c>
      <c r="B13" s="15" t="s">
        <v>194</v>
      </c>
      <c r="C13" s="15" t="s">
        <v>280</v>
      </c>
      <c r="D13" s="15" t="s">
        <v>266</v>
      </c>
      <c r="E13" s="15" t="s">
        <v>281</v>
      </c>
    </row>
    <row r="14" spans="1:5">
      <c r="A14" s="15" t="s">
        <v>196</v>
      </c>
      <c r="B14" s="15" t="s">
        <v>200</v>
      </c>
      <c r="C14" s="15" t="s">
        <v>282</v>
      </c>
      <c r="D14" s="15" t="s">
        <v>266</v>
      </c>
      <c r="E14" s="15" t="s">
        <v>283</v>
      </c>
    </row>
    <row r="15" spans="1:5">
      <c r="A15" s="15" t="s">
        <v>202</v>
      </c>
      <c r="B15" s="15" t="s">
        <v>206</v>
      </c>
      <c r="C15" s="15" t="s">
        <v>284</v>
      </c>
      <c r="D15" s="15" t="s">
        <v>266</v>
      </c>
      <c r="E15" s="15" t="s">
        <v>285</v>
      </c>
    </row>
    <row r="16" spans="1:5">
      <c r="A16" s="15" t="s">
        <v>208</v>
      </c>
      <c r="B16" s="15" t="s">
        <v>212</v>
      </c>
      <c r="C16" s="15" t="s">
        <v>286</v>
      </c>
      <c r="D16" s="15" t="s">
        <v>266</v>
      </c>
      <c r="E16" s="15" t="s">
        <v>287</v>
      </c>
    </row>
    <row r="17" spans="1:5">
      <c r="A17" s="15" t="s">
        <v>214</v>
      </c>
      <c r="B17" s="15" t="s">
        <v>218</v>
      </c>
      <c r="C17" s="15" t="s">
        <v>288</v>
      </c>
      <c r="D17" s="15" t="s">
        <v>266</v>
      </c>
      <c r="E17" s="15" t="s">
        <v>289</v>
      </c>
    </row>
    <row r="18" spans="1:5">
      <c r="A18" s="15" t="s">
        <v>220</v>
      </c>
      <c r="B18" s="15" t="s">
        <v>224</v>
      </c>
      <c r="C18" s="15" t="s">
        <v>290</v>
      </c>
      <c r="D18" s="15" t="s">
        <v>266</v>
      </c>
      <c r="E18" s="15" t="s">
        <v>291</v>
      </c>
    </row>
    <row r="19" spans="1:5">
      <c r="A19" s="15" t="s">
        <v>226</v>
      </c>
      <c r="B19" s="15" t="s">
        <v>230</v>
      </c>
      <c r="C19" s="15" t="s">
        <v>292</v>
      </c>
      <c r="D19" s="15" t="s">
        <v>266</v>
      </c>
      <c r="E19" s="15" t="s">
        <v>293</v>
      </c>
    </row>
    <row r="20" spans="1:5">
      <c r="A20" s="15" t="s">
        <v>232</v>
      </c>
      <c r="B20" s="15" t="s">
        <v>236</v>
      </c>
      <c r="C20" s="15" t="s">
        <v>294</v>
      </c>
      <c r="D20" s="15" t="s">
        <v>266</v>
      </c>
      <c r="E20" s="15" t="s">
        <v>295</v>
      </c>
    </row>
    <row r="21" spans="1:5">
      <c r="A21" s="15" t="s">
        <v>238</v>
      </c>
      <c r="B21" s="15" t="s">
        <v>242</v>
      </c>
      <c r="C21" s="15" t="s">
        <v>296</v>
      </c>
      <c r="D21" s="15" t="s">
        <v>266</v>
      </c>
      <c r="E21" s="15" t="s">
        <v>297</v>
      </c>
    </row>
    <row r="23" spans="1:5">
      <c r="A23" s="18"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18" t="s">
        <v>300</v>
      </c>
    </row>
    <row r="4" spans="1:6" ht="24" customHeight="1">
      <c r="A4" s="8" t="s">
        <v>301</v>
      </c>
      <c r="B4" s="8" t="s">
        <v>302</v>
      </c>
      <c r="C4" s="8" t="s">
        <v>18</v>
      </c>
      <c r="D4" s="8" t="s">
        <v>303</v>
      </c>
      <c r="E4" s="8" t="s">
        <v>304</v>
      </c>
      <c r="F4" s="8" t="s">
        <v>94</v>
      </c>
    </row>
    <row r="5" spans="1:6">
      <c r="A5" s="15" t="s">
        <v>305</v>
      </c>
      <c r="B5" s="15" t="s">
        <v>306</v>
      </c>
      <c r="C5" s="15" t="s">
        <v>307</v>
      </c>
      <c r="D5" s="15" t="s">
        <v>308</v>
      </c>
      <c r="E5" s="15" t="s">
        <v>22</v>
      </c>
      <c r="F5" s="15" t="s">
        <v>309</v>
      </c>
    </row>
    <row r="6" spans="1:6">
      <c r="A6" s="15" t="s">
        <v>310</v>
      </c>
      <c r="B6" s="15" t="s">
        <v>311</v>
      </c>
      <c r="C6" s="15" t="s">
        <v>307</v>
      </c>
      <c r="D6" s="15" t="s">
        <v>312</v>
      </c>
      <c r="E6" s="15" t="s">
        <v>22</v>
      </c>
      <c r="F6" s="15" t="s">
        <v>313</v>
      </c>
    </row>
    <row r="7" spans="1:6">
      <c r="A7" s="15" t="s">
        <v>314</v>
      </c>
      <c r="B7" s="15" t="s">
        <v>315</v>
      </c>
      <c r="C7" s="15" t="s">
        <v>307</v>
      </c>
      <c r="D7" s="15" t="s">
        <v>316</v>
      </c>
      <c r="E7" s="15" t="s">
        <v>22</v>
      </c>
      <c r="F7" s="15" t="s">
        <v>317</v>
      </c>
    </row>
    <row r="8" spans="1:6">
      <c r="A8" s="15" t="s">
        <v>318</v>
      </c>
      <c r="B8" s="15" t="s">
        <v>319</v>
      </c>
      <c r="C8" s="15" t="s">
        <v>320</v>
      </c>
      <c r="D8" s="15" t="s">
        <v>321</v>
      </c>
      <c r="E8" s="15" t="s">
        <v>22</v>
      </c>
      <c r="F8" s="15" t="s">
        <v>322</v>
      </c>
    </row>
    <row r="9" spans="1:6">
      <c r="A9" s="15" t="s">
        <v>323</v>
      </c>
      <c r="B9" s="15" t="s">
        <v>324</v>
      </c>
      <c r="C9" s="15" t="s">
        <v>325</v>
      </c>
      <c r="D9" s="15" t="s">
        <v>326</v>
      </c>
      <c r="E9" s="15" t="s">
        <v>22</v>
      </c>
      <c r="F9" s="15" t="s">
        <v>327</v>
      </c>
    </row>
    <row r="10" spans="1:6">
      <c r="A10" s="15" t="s">
        <v>328</v>
      </c>
      <c r="B10" s="15" t="s">
        <v>329</v>
      </c>
      <c r="C10" s="15" t="s">
        <v>330</v>
      </c>
      <c r="D10" s="15" t="s">
        <v>331</v>
      </c>
      <c r="E10" s="15" t="s">
        <v>22</v>
      </c>
      <c r="F10" s="15" t="s">
        <v>332</v>
      </c>
    </row>
    <row r="11" spans="1:6">
      <c r="A11" s="15" t="s">
        <v>333</v>
      </c>
      <c r="B11" s="15" t="s">
        <v>334</v>
      </c>
      <c r="C11" s="15" t="s">
        <v>335</v>
      </c>
      <c r="D11" s="15" t="s">
        <v>336</v>
      </c>
      <c r="E11" s="15" t="s">
        <v>22</v>
      </c>
      <c r="F11" s="15" t="s">
        <v>337</v>
      </c>
    </row>
    <row r="12" spans="1:6">
      <c r="A12" s="15" t="s">
        <v>338</v>
      </c>
      <c r="B12" s="15" t="s">
        <v>339</v>
      </c>
      <c r="C12" s="15" t="s">
        <v>340</v>
      </c>
      <c r="D12" s="15" t="s">
        <v>341</v>
      </c>
      <c r="E12" s="15" t="s">
        <v>22</v>
      </c>
      <c r="F12" s="15" t="s">
        <v>342</v>
      </c>
    </row>
    <row r="13" spans="1:6">
      <c r="A13" s="15" t="s">
        <v>343</v>
      </c>
      <c r="B13" s="15" t="s">
        <v>344</v>
      </c>
      <c r="C13" s="15" t="s">
        <v>345</v>
      </c>
      <c r="D13" s="15" t="s">
        <v>346</v>
      </c>
      <c r="E13" s="15" t="s">
        <v>22</v>
      </c>
      <c r="F13" s="15" t="s">
        <v>347</v>
      </c>
    </row>
    <row r="14" spans="1:6">
      <c r="A14" s="15" t="s">
        <v>348</v>
      </c>
      <c r="B14" s="15" t="s">
        <v>349</v>
      </c>
      <c r="C14" s="15" t="s">
        <v>350</v>
      </c>
      <c r="D14" s="15" t="s">
        <v>351</v>
      </c>
      <c r="E14" s="15" t="s">
        <v>22</v>
      </c>
      <c r="F14" s="15" t="s">
        <v>352</v>
      </c>
    </row>
    <row r="15" spans="1:6">
      <c r="A15" s="15" t="s">
        <v>353</v>
      </c>
      <c r="B15" s="15" t="s">
        <v>354</v>
      </c>
      <c r="C15" s="15" t="s">
        <v>355</v>
      </c>
      <c r="D15" s="15" t="s">
        <v>356</v>
      </c>
      <c r="E15" s="15" t="s">
        <v>22</v>
      </c>
      <c r="F15" s="15" t="s">
        <v>357</v>
      </c>
    </row>
    <row r="16" spans="1:6">
      <c r="A16" s="15" t="s">
        <v>358</v>
      </c>
      <c r="B16" s="15" t="s">
        <v>359</v>
      </c>
      <c r="C16" s="15" t="s">
        <v>360</v>
      </c>
      <c r="D16" s="15" t="s">
        <v>361</v>
      </c>
      <c r="E16" s="15" t="s">
        <v>22</v>
      </c>
      <c r="F16" s="15" t="s">
        <v>362</v>
      </c>
    </row>
    <row r="17" spans="1:6">
      <c r="A17" s="15" t="s">
        <v>363</v>
      </c>
      <c r="B17" s="15" t="s">
        <v>364</v>
      </c>
      <c r="C17" s="15" t="s">
        <v>365</v>
      </c>
      <c r="D17" s="15" t="s">
        <v>366</v>
      </c>
      <c r="E17" s="15" t="s">
        <v>22</v>
      </c>
      <c r="F17" s="15" t="s">
        <v>367</v>
      </c>
    </row>
    <row r="18" spans="1:6">
      <c r="A18" s="15" t="s">
        <v>368</v>
      </c>
      <c r="B18" s="15" t="s">
        <v>369</v>
      </c>
      <c r="C18" s="15" t="s">
        <v>370</v>
      </c>
      <c r="D18" s="15" t="s">
        <v>371</v>
      </c>
      <c r="E18" s="15" t="s">
        <v>22</v>
      </c>
      <c r="F18" s="15" t="s">
        <v>372</v>
      </c>
    </row>
    <row r="19" spans="1:6">
      <c r="A19" s="15" t="s">
        <v>373</v>
      </c>
      <c r="B19" s="15" t="s">
        <v>374</v>
      </c>
      <c r="C19" s="15" t="s">
        <v>375</v>
      </c>
      <c r="D19" s="15" t="s">
        <v>376</v>
      </c>
      <c r="E19" s="15" t="s">
        <v>22</v>
      </c>
      <c r="F19" s="15" t="s">
        <v>377</v>
      </c>
    </row>
    <row r="20" spans="1:6">
      <c r="A20" s="15" t="s">
        <v>378</v>
      </c>
      <c r="B20" s="15" t="s">
        <v>379</v>
      </c>
      <c r="C20" s="15" t="s">
        <v>380</v>
      </c>
      <c r="D20" s="15" t="s">
        <v>381</v>
      </c>
      <c r="E20" s="15" t="s">
        <v>22</v>
      </c>
      <c r="F20" s="15" t="s">
        <v>382</v>
      </c>
    </row>
    <row r="21" spans="1:6">
      <c r="A21" s="15" t="s">
        <v>383</v>
      </c>
      <c r="B21" s="15" t="s">
        <v>384</v>
      </c>
      <c r="C21" s="15" t="s">
        <v>385</v>
      </c>
      <c r="D21" s="15" t="s">
        <v>386</v>
      </c>
      <c r="E21" s="15" t="s">
        <v>22</v>
      </c>
      <c r="F21" s="15" t="s">
        <v>387</v>
      </c>
    </row>
    <row r="22" spans="1:6">
      <c r="A22" s="15" t="s">
        <v>388</v>
      </c>
      <c r="B22" s="15" t="s">
        <v>389</v>
      </c>
      <c r="C22" s="15" t="s">
        <v>390</v>
      </c>
      <c r="D22" s="15" t="s">
        <v>356</v>
      </c>
      <c r="E22" s="15" t="s">
        <v>22</v>
      </c>
      <c r="F22" s="15" t="s">
        <v>391</v>
      </c>
    </row>
    <row r="23" spans="1:6">
      <c r="A23" s="15" t="s">
        <v>392</v>
      </c>
      <c r="B23" s="15" t="s">
        <v>393</v>
      </c>
      <c r="C23" s="15" t="s">
        <v>394</v>
      </c>
      <c r="D23" s="15" t="s">
        <v>395</v>
      </c>
      <c r="E23" s="15" t="s">
        <v>22</v>
      </c>
      <c r="F23" s="15" t="s">
        <v>396</v>
      </c>
    </row>
    <row r="24" spans="1:6">
      <c r="A24" s="15" t="s">
        <v>397</v>
      </c>
      <c r="B24" s="15" t="s">
        <v>398</v>
      </c>
      <c r="C24" s="15" t="s">
        <v>399</v>
      </c>
      <c r="D24" s="15" t="s">
        <v>400</v>
      </c>
      <c r="E24" s="15" t="s">
        <v>22</v>
      </c>
      <c r="F24" s="15" t="s">
        <v>401</v>
      </c>
    </row>
    <row r="25" spans="1:6">
      <c r="A25" s="15" t="s">
        <v>402</v>
      </c>
      <c r="B25" s="15" t="s">
        <v>403</v>
      </c>
      <c r="C25" s="15" t="s">
        <v>404</v>
      </c>
      <c r="D25" s="15" t="s">
        <v>405</v>
      </c>
      <c r="E25" s="15" t="s">
        <v>22</v>
      </c>
      <c r="F25" s="15" t="s">
        <v>406</v>
      </c>
    </row>
    <row r="26" spans="1:6">
      <c r="A26" s="15" t="s">
        <v>407</v>
      </c>
      <c r="B26" s="15" t="s">
        <v>408</v>
      </c>
      <c r="C26" s="15" t="s">
        <v>409</v>
      </c>
      <c r="D26" s="15" t="s">
        <v>410</v>
      </c>
      <c r="E26" s="15" t="s">
        <v>22</v>
      </c>
      <c r="F26" s="15" t="s">
        <v>411</v>
      </c>
    </row>
    <row r="27" spans="1:6">
      <c r="A27" s="15" t="s">
        <v>412</v>
      </c>
      <c r="B27" s="15" t="s">
        <v>413</v>
      </c>
      <c r="C27" s="15" t="s">
        <v>414</v>
      </c>
      <c r="D27" s="15" t="s">
        <v>415</v>
      </c>
      <c r="E27" s="15" t="s">
        <v>22</v>
      </c>
      <c r="F27" s="15" t="s">
        <v>416</v>
      </c>
    </row>
    <row r="28" spans="1:6">
      <c r="A28" s="15" t="s">
        <v>417</v>
      </c>
      <c r="B28" s="15" t="s">
        <v>418</v>
      </c>
      <c r="C28" s="15" t="s">
        <v>419</v>
      </c>
      <c r="D28" s="15" t="s">
        <v>420</v>
      </c>
      <c r="E28" s="15" t="s">
        <v>22</v>
      </c>
      <c r="F28" s="15" t="s">
        <v>421</v>
      </c>
    </row>
    <row r="29" spans="1:6">
      <c r="A29" s="15" t="s">
        <v>422</v>
      </c>
      <c r="B29" s="15" t="s">
        <v>423</v>
      </c>
      <c r="C29" s="15" t="s">
        <v>424</v>
      </c>
      <c r="D29" s="15" t="s">
        <v>425</v>
      </c>
      <c r="E29" s="15" t="s">
        <v>22</v>
      </c>
      <c r="F29" s="15" t="s">
        <v>426</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6"/>
  <sheetViews>
    <sheetView showGridLines="0" workbookViewId="0"/>
  </sheetViews>
  <sheetFormatPr defaultRowHeight="15"/>
  <cols>
    <col min="1" max="1" width="8.7109375" customWidth="1"/>
    <col min="2" max="2" width="110.7109375" customWidth="1"/>
  </cols>
  <sheetData>
    <row r="1" spans="1:2">
      <c r="A1" s="4" t="s">
        <v>427</v>
      </c>
    </row>
    <row r="3" spans="1:2">
      <c r="A3" s="6" t="s">
        <v>428</v>
      </c>
    </row>
    <row r="4" spans="1:2">
      <c r="A4" s="6" t="s">
        <v>429</v>
      </c>
      <c r="B4" s="20" t="s">
        <v>430</v>
      </c>
    </row>
    <row r="5" spans="1:2">
      <c r="A5" s="6" t="s">
        <v>429</v>
      </c>
      <c r="B5" s="20" t="s">
        <v>431</v>
      </c>
    </row>
    <row r="7" spans="1:2">
      <c r="A7" s="6" t="s">
        <v>432</v>
      </c>
    </row>
    <row r="8" spans="1:2">
      <c r="A8" s="6">
        <v>1</v>
      </c>
      <c r="B8" s="3" t="s">
        <v>433</v>
      </c>
    </row>
    <row r="9" spans="1:2">
      <c r="A9" s="6">
        <v>2</v>
      </c>
      <c r="B9" s="3" t="s">
        <v>434</v>
      </c>
    </row>
    <row r="10" spans="1:2">
      <c r="A10" s="6">
        <v>3</v>
      </c>
      <c r="B10" s="3" t="s">
        <v>435</v>
      </c>
    </row>
    <row r="11" spans="1:2">
      <c r="A11" s="6">
        <v>4</v>
      </c>
      <c r="B11" s="3" t="s">
        <v>436</v>
      </c>
    </row>
    <row r="12" spans="1:2">
      <c r="A12" s="6">
        <v>5</v>
      </c>
      <c r="B12" s="3" t="s">
        <v>437</v>
      </c>
    </row>
    <row r="13" spans="1:2">
      <c r="A13" s="6">
        <v>6</v>
      </c>
      <c r="B13" s="3" t="s">
        <v>438</v>
      </c>
    </row>
    <row r="14" spans="1:2">
      <c r="A14" s="6">
        <v>7</v>
      </c>
      <c r="B14" s="3" t="s">
        <v>439</v>
      </c>
    </row>
    <row r="15" spans="1:2">
      <c r="A15" s="6">
        <v>8</v>
      </c>
      <c r="B15" s="3" t="s">
        <v>440</v>
      </c>
    </row>
    <row r="16" spans="1:2">
      <c r="A16" s="6">
        <v>9</v>
      </c>
      <c r="B16" s="3" t="s">
        <v>441</v>
      </c>
    </row>
    <row r="17" spans="1:2">
      <c r="A17" s="6">
        <v>10</v>
      </c>
      <c r="B17" s="3" t="s">
        <v>442</v>
      </c>
    </row>
    <row r="18" spans="1:2">
      <c r="A18" s="6">
        <v>11</v>
      </c>
      <c r="B18" s="3" t="s">
        <v>443</v>
      </c>
    </row>
    <row r="19" spans="1:2">
      <c r="A19" s="6">
        <v>12</v>
      </c>
      <c r="B19" s="3" t="s">
        <v>444</v>
      </c>
    </row>
    <row r="20" spans="1:2">
      <c r="A20" s="6">
        <v>13</v>
      </c>
      <c r="B20" s="3" t="s">
        <v>445</v>
      </c>
    </row>
    <row r="21" spans="1:2">
      <c r="A21" s="6">
        <v>14</v>
      </c>
      <c r="B21" s="3" t="s">
        <v>446</v>
      </c>
    </row>
    <row r="22" spans="1:2">
      <c r="A22" s="6">
        <v>15</v>
      </c>
      <c r="B22" s="3" t="s">
        <v>447</v>
      </c>
    </row>
    <row r="23" spans="1:2">
      <c r="A23" s="6">
        <v>16</v>
      </c>
      <c r="B23" s="3" t="s">
        <v>448</v>
      </c>
    </row>
    <row r="24" spans="1:2">
      <c r="A24" s="6">
        <v>17</v>
      </c>
      <c r="B24" s="3" t="s">
        <v>449</v>
      </c>
    </row>
    <row r="25" spans="1:2">
      <c r="A25" s="6">
        <v>18</v>
      </c>
      <c r="B25" s="3" t="s">
        <v>450</v>
      </c>
    </row>
    <row r="26" spans="1:2">
      <c r="A26" s="6">
        <v>19</v>
      </c>
      <c r="B26" s="3" t="s">
        <v>451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5"/>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452</v>
      </c>
      <c r="B1" s="8" t="s">
        <v>453</v>
      </c>
      <c r="C1" s="8" t="s">
        <v>454</v>
      </c>
      <c r="D1" s="8" t="s">
        <v>455</v>
      </c>
    </row>
    <row r="2" spans="1:4">
      <c r="A2" s="21" t="s">
        <v>456</v>
      </c>
      <c r="B2" s="15" t="s">
        <v>457</v>
      </c>
      <c r="C2" s="22" t="s">
        <v>458</v>
      </c>
      <c r="D2" s="22"/>
    </row>
    <row r="3" spans="1:4">
      <c r="A3" s="21" t="s">
        <v>456</v>
      </c>
      <c r="B3" s="15" t="s">
        <v>457</v>
      </c>
      <c r="C3" s="22" t="s">
        <v>459</v>
      </c>
      <c r="D3" s="22" t="s">
        <v>460</v>
      </c>
    </row>
    <row r="4" spans="1:4">
      <c r="A4" s="21" t="s">
        <v>456</v>
      </c>
      <c r="B4" s="15" t="s">
        <v>457</v>
      </c>
      <c r="C4" s="22" t="s">
        <v>461</v>
      </c>
      <c r="D4" s="22"/>
    </row>
    <row r="5" spans="1:4">
      <c r="A5" s="21" t="s">
        <v>456</v>
      </c>
      <c r="B5" s="15" t="s">
        <v>457</v>
      </c>
      <c r="C5" s="22" t="s">
        <v>462</v>
      </c>
      <c r="D5" s="22"/>
    </row>
    <row r="6" spans="1:4">
      <c r="A6" s="21" t="s">
        <v>456</v>
      </c>
      <c r="B6" s="15" t="s">
        <v>457</v>
      </c>
      <c r="C6" s="22" t="s">
        <v>463</v>
      </c>
      <c r="D6" s="22"/>
    </row>
    <row r="7" spans="1:4">
      <c r="A7" s="21" t="s">
        <v>456</v>
      </c>
      <c r="B7" s="15" t="s">
        <v>457</v>
      </c>
      <c r="C7" s="22" t="s">
        <v>464</v>
      </c>
      <c r="D7" s="22"/>
    </row>
    <row r="8" spans="1:4">
      <c r="A8" s="21" t="s">
        <v>456</v>
      </c>
      <c r="B8" s="15" t="s">
        <v>457</v>
      </c>
      <c r="C8" s="22" t="s">
        <v>465</v>
      </c>
      <c r="D8" s="22"/>
    </row>
    <row r="9" spans="1:4">
      <c r="A9" s="21" t="s">
        <v>456</v>
      </c>
      <c r="B9" s="15" t="s">
        <v>457</v>
      </c>
      <c r="C9" s="22" t="s">
        <v>466</v>
      </c>
      <c r="D9" s="22"/>
    </row>
    <row r="10" spans="1:4">
      <c r="A10" s="21" t="s">
        <v>456</v>
      </c>
      <c r="B10" s="15" t="s">
        <v>457</v>
      </c>
      <c r="C10" s="22" t="s">
        <v>467</v>
      </c>
      <c r="D10" s="22"/>
    </row>
    <row r="11" spans="1:4">
      <c r="A11" s="21" t="s">
        <v>456</v>
      </c>
      <c r="B11" s="15" t="s">
        <v>457</v>
      </c>
      <c r="C11" s="22" t="s">
        <v>468</v>
      </c>
      <c r="D11" s="22"/>
    </row>
    <row r="12" spans="1:4">
      <c r="A12" s="21" t="s">
        <v>456</v>
      </c>
      <c r="B12" s="15" t="s">
        <v>457</v>
      </c>
      <c r="C12" s="22" t="s">
        <v>469</v>
      </c>
      <c r="D12" s="22"/>
    </row>
    <row r="13" spans="1:4">
      <c r="A13" s="21" t="s">
        <v>456</v>
      </c>
      <c r="B13" s="15" t="s">
        <v>457</v>
      </c>
      <c r="C13" s="22" t="s">
        <v>470</v>
      </c>
      <c r="D13" s="22"/>
    </row>
    <row r="14" spans="1:4">
      <c r="A14" s="21" t="s">
        <v>456</v>
      </c>
      <c r="B14" s="15" t="s">
        <v>457</v>
      </c>
      <c r="C14" s="22" t="s">
        <v>442</v>
      </c>
      <c r="D14" s="22" t="s">
        <v>471</v>
      </c>
    </row>
    <row r="15" spans="1:4">
      <c r="A15" s="21" t="s">
        <v>456</v>
      </c>
      <c r="B15" s="15" t="s">
        <v>457</v>
      </c>
      <c r="C15" s="22" t="s">
        <v>443</v>
      </c>
      <c r="D15" s="22" t="s">
        <v>471</v>
      </c>
    </row>
    <row r="16" spans="1:4">
      <c r="A16" s="21" t="s">
        <v>456</v>
      </c>
      <c r="B16" s="15" t="s">
        <v>457</v>
      </c>
      <c r="C16" s="22" t="s">
        <v>444</v>
      </c>
      <c r="D16" s="22" t="s">
        <v>471</v>
      </c>
    </row>
    <row r="17" spans="1:4">
      <c r="A17" s="21" t="s">
        <v>456</v>
      </c>
      <c r="B17" s="15" t="s">
        <v>457</v>
      </c>
      <c r="C17" s="22" t="s">
        <v>445</v>
      </c>
      <c r="D17" s="22" t="s">
        <v>471</v>
      </c>
    </row>
    <row r="18" spans="1:4">
      <c r="A18" s="21" t="s">
        <v>456</v>
      </c>
      <c r="B18" s="15" t="s">
        <v>457</v>
      </c>
      <c r="C18" s="22" t="s">
        <v>446</v>
      </c>
      <c r="D18" s="22" t="s">
        <v>471</v>
      </c>
    </row>
    <row r="19" spans="1:4">
      <c r="A19" s="21" t="s">
        <v>456</v>
      </c>
      <c r="B19" s="15" t="s">
        <v>457</v>
      </c>
      <c r="C19" s="22" t="s">
        <v>447</v>
      </c>
      <c r="D19" s="22" t="s">
        <v>471</v>
      </c>
    </row>
    <row r="20" spans="1:4">
      <c r="A20" s="21" t="s">
        <v>456</v>
      </c>
      <c r="B20" s="15" t="s">
        <v>457</v>
      </c>
      <c r="C20" s="22" t="s">
        <v>448</v>
      </c>
      <c r="D20" s="22" t="s">
        <v>471</v>
      </c>
    </row>
    <row r="21" spans="1:4">
      <c r="A21" s="21" t="s">
        <v>456</v>
      </c>
      <c r="B21" s="15" t="s">
        <v>457</v>
      </c>
      <c r="C21" s="22" t="s">
        <v>449</v>
      </c>
      <c r="D21" s="22" t="s">
        <v>471</v>
      </c>
    </row>
    <row r="22" spans="1:4">
      <c r="A22" s="21" t="s">
        <v>456</v>
      </c>
      <c r="B22" s="15" t="s">
        <v>457</v>
      </c>
      <c r="C22" s="22" t="s">
        <v>450</v>
      </c>
      <c r="D22" s="22" t="s">
        <v>471</v>
      </c>
    </row>
    <row r="23" spans="1:4">
      <c r="A23" s="21" t="s">
        <v>456</v>
      </c>
      <c r="B23" s="15" t="s">
        <v>457</v>
      </c>
      <c r="C23" s="22" t="s">
        <v>451</v>
      </c>
      <c r="D23" s="22" t="s">
        <v>471</v>
      </c>
    </row>
    <row r="24" spans="1:4">
      <c r="A24" s="21" t="s">
        <v>472</v>
      </c>
      <c r="B24" s="15" t="s">
        <v>457</v>
      </c>
      <c r="C24" s="22" t="s">
        <v>473</v>
      </c>
      <c r="D24" s="22"/>
    </row>
    <row r="25" spans="1:4">
      <c r="A25" s="21" t="s">
        <v>472</v>
      </c>
      <c r="B25" s="15" t="s">
        <v>474</v>
      </c>
      <c r="C25" s="22" t="s">
        <v>475</v>
      </c>
      <c r="D25" s="22"/>
    </row>
    <row r="26" spans="1:4">
      <c r="A26" s="21" t="s">
        <v>472</v>
      </c>
      <c r="B26" s="15" t="s">
        <v>476</v>
      </c>
      <c r="C26" s="22" t="s">
        <v>477</v>
      </c>
      <c r="D26" s="22"/>
    </row>
    <row r="27" spans="1:4">
      <c r="A27" s="21" t="s">
        <v>478</v>
      </c>
      <c r="B27" s="15" t="s">
        <v>476</v>
      </c>
      <c r="C27" s="22" t="s">
        <v>479</v>
      </c>
      <c r="D27" s="22" t="s">
        <v>480</v>
      </c>
    </row>
    <row r="28" spans="1:4">
      <c r="A28" s="21" t="s">
        <v>478</v>
      </c>
      <c r="B28" s="15" t="s">
        <v>476</v>
      </c>
      <c r="C28" s="22" t="s">
        <v>481</v>
      </c>
      <c r="D28" s="22" t="s">
        <v>482</v>
      </c>
    </row>
    <row r="29" spans="1:4">
      <c r="A29" s="21" t="s">
        <v>478</v>
      </c>
      <c r="B29" s="15" t="s">
        <v>457</v>
      </c>
      <c r="C29" s="22" t="s">
        <v>483</v>
      </c>
      <c r="D29" s="22" t="s">
        <v>484</v>
      </c>
    </row>
    <row r="30" spans="1:4">
      <c r="A30" s="21" t="s">
        <v>485</v>
      </c>
      <c r="B30" s="15" t="s">
        <v>457</v>
      </c>
      <c r="C30" s="22" t="s">
        <v>486</v>
      </c>
      <c r="D30" s="22" t="s">
        <v>434</v>
      </c>
    </row>
    <row r="31" spans="1:4">
      <c r="A31" s="21" t="s">
        <v>485</v>
      </c>
      <c r="B31" s="15" t="s">
        <v>457</v>
      </c>
      <c r="C31" s="22" t="s">
        <v>487</v>
      </c>
      <c r="D31" s="22"/>
    </row>
    <row r="32" spans="1:4">
      <c r="A32" s="21" t="s">
        <v>488</v>
      </c>
      <c r="B32" s="15" t="s">
        <v>457</v>
      </c>
      <c r="C32" s="22" t="s">
        <v>489</v>
      </c>
      <c r="D32" s="22" t="s">
        <v>490</v>
      </c>
    </row>
    <row r="33" spans="1:4">
      <c r="A33" s="21" t="s">
        <v>488</v>
      </c>
      <c r="B33" s="15" t="s">
        <v>474</v>
      </c>
      <c r="C33" s="22" t="s">
        <v>491</v>
      </c>
      <c r="D33" s="22" t="s">
        <v>492</v>
      </c>
    </row>
    <row r="34" spans="1:4">
      <c r="A34" s="21" t="s">
        <v>488</v>
      </c>
      <c r="B34" s="15" t="s">
        <v>474</v>
      </c>
      <c r="C34" s="22" t="s">
        <v>493</v>
      </c>
      <c r="D34" s="22"/>
    </row>
    <row r="35" spans="1:4">
      <c r="A35" s="21" t="s">
        <v>488</v>
      </c>
      <c r="B35" s="15" t="s">
        <v>474</v>
      </c>
      <c r="C35" s="22" t="s">
        <v>494</v>
      </c>
      <c r="D35" s="22"/>
    </row>
    <row r="36" spans="1:4">
      <c r="A36" s="21" t="s">
        <v>488</v>
      </c>
      <c r="B36" s="15" t="s">
        <v>474</v>
      </c>
      <c r="C36" s="22" t="s">
        <v>495</v>
      </c>
      <c r="D36" s="22"/>
    </row>
    <row r="37" spans="1:4">
      <c r="A37" s="21" t="s">
        <v>488</v>
      </c>
      <c r="B37" s="15" t="s">
        <v>474</v>
      </c>
      <c r="C37" s="22" t="s">
        <v>496</v>
      </c>
      <c r="D37" s="22"/>
    </row>
    <row r="38" spans="1:4">
      <c r="A38" s="21" t="s">
        <v>488</v>
      </c>
      <c r="B38" s="15" t="s">
        <v>474</v>
      </c>
      <c r="C38" s="22" t="s">
        <v>497</v>
      </c>
      <c r="D38" s="22"/>
    </row>
    <row r="39" spans="1:4">
      <c r="A39" s="21" t="s">
        <v>488</v>
      </c>
      <c r="B39" s="15" t="s">
        <v>474</v>
      </c>
      <c r="C39" s="22" t="s">
        <v>498</v>
      </c>
      <c r="D39" s="22"/>
    </row>
    <row r="40" spans="1:4">
      <c r="A40" s="21" t="s">
        <v>499</v>
      </c>
      <c r="B40" s="15" t="s">
        <v>474</v>
      </c>
      <c r="C40" s="22" t="s">
        <v>500</v>
      </c>
      <c r="D40" s="22"/>
    </row>
    <row r="41" spans="1:4">
      <c r="A41" s="21" t="s">
        <v>499</v>
      </c>
      <c r="B41" s="15" t="s">
        <v>474</v>
      </c>
      <c r="C41" s="22" t="s">
        <v>501</v>
      </c>
      <c r="D41" s="22"/>
    </row>
    <row r="42" spans="1:4">
      <c r="A42" s="21" t="s">
        <v>499</v>
      </c>
      <c r="B42" s="15" t="s">
        <v>474</v>
      </c>
      <c r="C42" s="22" t="s">
        <v>502</v>
      </c>
      <c r="D42" s="22"/>
    </row>
    <row r="43" spans="1:4">
      <c r="A43" s="21" t="s">
        <v>499</v>
      </c>
      <c r="B43" s="15" t="s">
        <v>503</v>
      </c>
      <c r="C43" s="22" t="s">
        <v>504</v>
      </c>
      <c r="D43" s="22"/>
    </row>
    <row r="44" spans="1:4">
      <c r="A44" s="21" t="s">
        <v>499</v>
      </c>
      <c r="B44" s="15" t="s">
        <v>503</v>
      </c>
      <c r="C44" s="22" t="s">
        <v>505</v>
      </c>
      <c r="D44" s="22" t="s">
        <v>506</v>
      </c>
    </row>
    <row r="45" spans="1:4">
      <c r="A45" s="21" t="s">
        <v>507</v>
      </c>
      <c r="B45" s="15" t="s">
        <v>503</v>
      </c>
      <c r="C45" s="22" t="s">
        <v>508</v>
      </c>
      <c r="D45" s="22"/>
    </row>
  </sheetData>
  <autoFilter ref="A1:D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2026-09-21T15:59:41Z</dcterms:created>
  <dcterms:modified xsi:type="dcterms:W3CDTF">2026-09-21T15:59:41Z</dcterms:modified>
</cp:coreProperties>
</file>