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Recommended discount per deal (" sheetId="8" r:id="rId8"/>
    <sheet name="Assumptions" sheetId="9" r:id="rId9"/>
    <sheet name="Run log" sheetId="10" r:id="rId10"/>
  </sheets>
  <definedNames>
    <definedName name="_xlnm._FilterDatabase" localSheetId="4" hidden="1">'Every discount level tested'!$A$4:$G$21</definedName>
    <definedName name="_xlnm._FilterDatabase" localSheetId="7" hidden="1">'Recommended discount per deal ('!$A$4:$F$29</definedName>
    <definedName name="_xlnm._FilterDatabase" localSheetId="9" hidden="1">'Run log'!$A$1:$D$44</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<sst xmlns="http://schemas.openxmlformats.org/spreadsheetml/2006/main" count="739" uniqueCount="486">
  <si>
    <t>Simulation Arena</t>
  </si>
  <si>
    <t>Deal Approval &amp; Margin Balancing</t>
  </si>
  <si>
    <t>Approve 0% - it is the only discount the model can tell apart from the rest. The 25% the rep is asking for is past it - that costs about $361.92M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</si>
  <si>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</si>
  <si>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</si>
  <si>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</si>
  <si>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</si>
  <si>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run_b1c17e4e2600</t>
  </si>
  <si>
    <t>Generated</t>
  </si>
  <si>
    <t>22 Sep 2026 07:26</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</si>
  <si>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</si>
  <si>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</si>
  <si>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</si>
  <si>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</si>
  <si>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</si>
  <si>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</si>
  <si>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</si>
  <si>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</si>
  <si>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</si>
  <si>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</si>
  <si>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</si>
  <si>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</si>
  <si>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0%</t>
  </si>
  <si>
    <t>This is where the extra wins are still worth more than the margin given away.</t>
  </si>
  <si>
    <t>rep asked for 25%</t>
  </si>
  <si>
    <t>Expected profit at that discount</t>
  </si>
  <si>
    <t>$43.67M</t>
  </si>
  <si>
    <t>Average profit if you made this call many times over.</t>
  </si>
  <si>
    <t>-</t>
  </si>
  <si>
    <t>Discount range you can approve without losing money</t>
  </si>
  <si>
    <t>Only one discount stands out - the model cannot tell any neighbouring discount apart from it. The model's own margin of error here is about $3.50M, so treat this as the best single number - the next discount along already costs real money.</t>
  </si>
  <si>
    <t>rep asked for 25% - outside the range</t>
  </si>
  <si>
    <t>Where it starts to genuinely cost you</t>
  </si>
  <si>
    <t>2%</t>
  </si>
  <si>
    <t>At 2% the expected profit falls $18.14M below the best. That gap is wider than the model's own margin of error, so the loss is real.</t>
  </si>
  <si>
    <t>costs about $18.14M</t>
  </si>
  <si>
    <t>Expected profit if you cave in</t>
  </si>
  <si>
    <t>-$318.25M</t>
  </si>
  <si>
    <t>What 25% actually earns you.</t>
  </si>
  <si>
    <t>-$361.92M vs the optimum</t>
  </si>
  <si>
    <t>Profit given away</t>
  </si>
  <si>
    <t>$361.92M</t>
  </si>
  <si>
    <t>Buying +48 points of win probability costs you this much.</t>
  </si>
  <si>
    <t>Odds of winning at the best discount</t>
  </si>
  <si>
    <t>37.0%</t>
  </si>
  <si>
    <t>The chance the deal lands.</t>
  </si>
  <si>
    <t>Worst case (1-in-20)</t>
  </si>
  <si>
    <t>-$5.76M</t>
  </si>
  <si>
    <t>In an unlucky run of 20 deals, this is roughly the profit you would see.</t>
  </si>
  <si>
    <t>Recommendation</t>
  </si>
  <si>
    <t>Risk</t>
  </si>
  <si>
    <t>High</t>
  </si>
  <si>
    <t>Risk score</t>
  </si>
  <si>
    <t>100 out of 100</t>
  </si>
  <si>
    <t>Confidence</t>
  </si>
  <si>
    <t>Why</t>
  </si>
  <si>
    <t>1.</t>
  </si>
  <si>
    <t>Only 0% stands out from the rest - the model cannot tell any neighbouring discount apart from it.</t>
  </si>
  <si>
    <t>2.</t>
  </si>
  <si>
    <t>Expected profit peaks at 0% ($43.67M).</t>
  </si>
  <si>
    <t>3.</t>
  </si>
  <si>
    <t>The requested 25% delivers -$318.25M - $361.92M less than the peak, which is more than the model's margin of error.</t>
  </si>
  <si>
    <t>4.</t>
  </si>
  <si>
    <t>Win probability only improves +48 points for that giveaway.</t>
  </si>
  <si>
    <t>What to do</t>
  </si>
  <si>
    <t>Action 1</t>
  </si>
  <si>
    <t>Approve 0% as the standard concession - it is the only discount the model can tell apart from the rest.</t>
  </si>
  <si>
    <t>Action 2</t>
  </si>
  <si>
    <t>Above 0% (the top of the safe range), require VP sign-off: the 25% being asked for costs about $14.48M per point of discount.</t>
  </si>
  <si>
    <t>Action 3</t>
  </si>
  <si>
    <t>At 25% there is a 100% chance of breaching the 12.0% margin floor - add a volume or term commitment to earn the deeper discount.</t>
  </si>
  <si>
    <t>Trade-off</t>
  </si>
  <si>
    <t>You are trading $361.92M of expected profit for +48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</si>
  <si>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</si>
  <si>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</si>
  <si>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</si>
  <si>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</si>
  <si>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</si>
  <si>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</si>
  <si>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</si>
  <si>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</si>
  <si>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</si>
  <si>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</si>
  <si>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</si>
  <si>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</si>
  <si>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</si>
  <si>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</si>
  <si>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</si>
  <si>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</si>
  <si>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</si>
  <si>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</si>
  <si>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</si>
  <si>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</si>
  <si>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</si>
  <si>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</si>
  <si>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0%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</si>
  <si>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</si>
  <si>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</si>
  <si>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</si>
  <si>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</si>
  <si>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-215,384,491.08</t>
  </si>
  <si>
    <t>-190,420,246.50</t>
  </si>
  <si>
    <t>-165,456,001.92</t>
  </si>
  <si>
    <t>-140,491,757.34</t>
  </si>
  <si>
    <t>-115,527,512.76</t>
  </si>
  <si>
    <t>-90,563,268.18</t>
  </si>
  <si>
    <t>-65,599,023.59</t>
  </si>
  <si>
    <t>-40,634,779.01</t>
  </si>
  <si>
    <t>-15,670,534.43</t>
  </si>
  <si>
    <t>9,293,710.15</t>
  </si>
  <si>
    <t>34,257,954.73</t>
  </si>
  <si>
    <t>59,222,199.32</t>
  </si>
  <si>
    <t>84,186,443.90</t>
  </si>
  <si>
    <t>109,150,688.48</t>
  </si>
  <si>
    <t>134,114,933.06</t>
  </si>
  <si>
    <t>159,079,177.64</t>
  </si>
  <si>
    <t>184,043,422.23</t>
  </si>
  <si>
    <t>209,007,666.81</t>
  </si>
  <si>
    <t>233,971,911.39</t>
  </si>
  <si>
    <t>258,936,155.97</t>
  </si>
  <si>
    <t>283,900,400.55</t>
  </si>
  <si>
    <t>308,864,645.13</t>
  </si>
  <si>
    <t>333,828,889.72</t>
  </si>
  <si>
    <t>358,793,134.30</t>
  </si>
  <si>
    <t>383,757,378.88</t>
  </si>
  <si>
    <t>408,721,623.46</t>
  </si>
  <si>
    <t>433,685,868.04</t>
  </si>
  <si>
    <t>458,650,112.63</t>
  </si>
  <si>
    <t>483,614,357.21</t>
  </si>
  <si>
    <t>508,578,601.79</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</si>
  <si>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</si>
  <si>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</si>
  <si>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</si>
  <si>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</si>
  <si>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</si>
  <si>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</si>
  <si>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</si>
  <si>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</si>
  <si>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</si>
  <si>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</si>
  <si>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</si>
  <si>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$1,966,776,723</t>
  </si>
  <si>
    <t>$117,211,950</t>
  </si>
  <si>
    <t>$43,674,006</t>
  </si>
  <si>
    <t>-$5,756,224</t>
  </si>
  <si>
    <t>86% chance</t>
  </si>
  <si>
    <t>2.5%</t>
  </si>
  <si>
    <t>$1,917,607,305</t>
  </si>
  <si>
    <t>$69,278,431</t>
  </si>
  <si>
    <t>38.4%</t>
  </si>
  <si>
    <t>$25,531,019</t>
  </si>
  <si>
    <t>-$56,069,153</t>
  </si>
  <si>
    <t>93% chance</t>
  </si>
  <si>
    <t>5.0%</t>
  </si>
  <si>
    <t>$1,868,437,887</t>
  </si>
  <si>
    <t>$18,988,644</t>
  </si>
  <si>
    <t>40.2%</t>
  </si>
  <si>
    <t>$7,345,252</t>
  </si>
  <si>
    <t>-$111,484,855</t>
  </si>
  <si>
    <t>97% chance</t>
  </si>
  <si>
    <t>7.5%</t>
  </si>
  <si>
    <t>$1,819,268,469</t>
  </si>
  <si>
    <t>-$30,780,999</t>
  </si>
  <si>
    <t>43.2%</t>
  </si>
  <si>
    <t>-$13,056,522</t>
  </si>
  <si>
    <t>-$163,972,440</t>
  </si>
  <si>
    <t>99% chance</t>
  </si>
  <si>
    <t>10.0%</t>
  </si>
  <si>
    <t>$1,770,099,051</t>
  </si>
  <si>
    <t>-$79,731,296</t>
  </si>
  <si>
    <t>47.5%</t>
  </si>
  <si>
    <t>-$36,938,001</t>
  </si>
  <si>
    <t>-$210,631,635</t>
  </si>
  <si>
    <t>100% chance</t>
  </si>
  <si>
    <t>12.5%</t>
  </si>
  <si>
    <t>$1,720,929,633</t>
  </si>
  <si>
    <t>-$125,150,024</t>
  </si>
  <si>
    <t>53.1%</t>
  </si>
  <si>
    <t>-$65,892,197</t>
  </si>
  <si>
    <t>-$267,075,099</t>
  </si>
  <si>
    <t>15.0%</t>
  </si>
  <si>
    <t>$1,671,760,215</t>
  </si>
  <si>
    <t>-$176,997,850</t>
  </si>
  <si>
    <t>60.0%</t>
  </si>
  <si>
    <t>-$106,805,713</t>
  </si>
  <si>
    <t>-$331,686,051</t>
  </si>
  <si>
    <t>17.5%</t>
  </si>
  <si>
    <t>$1,622,590,796</t>
  </si>
  <si>
    <t>-$224,023,881</t>
  </si>
  <si>
    <t>67.3%</t>
  </si>
  <si>
    <t>-$150,441,713</t>
  </si>
  <si>
    <t>-$384,368,050</t>
  </si>
  <si>
    <t>20.0%</t>
  </si>
  <si>
    <t>$1,573,421,378</t>
  </si>
  <si>
    <t>-$274,622,469</t>
  </si>
  <si>
    <t>74.6%</t>
  </si>
  <si>
    <t>-$205,479,947</t>
  </si>
  <si>
    <t>-$442,266,101</t>
  </si>
  <si>
    <t>22.5%</t>
  </si>
  <si>
    <t>$1,524,251,960</t>
  </si>
  <si>
    <t>-$324,674,733</t>
  </si>
  <si>
    <t>80.7%</t>
  </si>
  <si>
    <t>-$262,628,459</t>
  </si>
  <si>
    <t>-$496,172,899</t>
  </si>
  <si>
    <t>25.0%</t>
  </si>
  <si>
    <t>$1,475,082,542</t>
  </si>
  <si>
    <t>-$374,472,262</t>
  </si>
  <si>
    <t>85.4%</t>
  </si>
  <si>
    <t>-$318,245,391</t>
  </si>
  <si>
    <t>-$548,124,994</t>
  </si>
  <si>
    <t>27.5%</t>
  </si>
  <si>
    <t>$1,425,913,124</t>
  </si>
  <si>
    <t>-$424,374,069</t>
  </si>
  <si>
    <t>88.8%</t>
  </si>
  <si>
    <t>-$375,387,236</t>
  </si>
  <si>
    <t>-$598,381,482</t>
  </si>
  <si>
    <t>30.0%</t>
  </si>
  <si>
    <t>$1,376,743,706</t>
  </si>
  <si>
    <t>-$475,225,167</t>
  </si>
  <si>
    <t>91.1%</t>
  </si>
  <si>
    <t>-$432,985,188</t>
  </si>
  <si>
    <t>-$656,003,419</t>
  </si>
  <si>
    <t>32.5%</t>
  </si>
  <si>
    <t>$1,327,574,288</t>
  </si>
  <si>
    <t>-$522,362,017</t>
  </si>
  <si>
    <t>92.5%</t>
  </si>
  <si>
    <t>-$483,021,041</t>
  </si>
  <si>
    <t>-$703,821,438</t>
  </si>
  <si>
    <t>35.0%</t>
  </si>
  <si>
    <t>$1,278,404,870</t>
  </si>
  <si>
    <t>-$572,751,351</t>
  </si>
  <si>
    <t>93.3%</t>
  </si>
  <si>
    <t>-$535,377,436</t>
  </si>
  <si>
    <t>-$750,335,917</t>
  </si>
  <si>
    <t>37.5%</t>
  </si>
  <si>
    <t>$1,229,235,452</t>
  </si>
  <si>
    <t>-$618,378,624</t>
  </si>
  <si>
    <t>93.8%</t>
  </si>
  <si>
    <t>-$579,725,765</t>
  </si>
  <si>
    <t>-$794,912,915</t>
  </si>
  <si>
    <t>40.0%</t>
  </si>
  <si>
    <t>$1,180,066,034</t>
  </si>
  <si>
    <t>-$669,362,260</t>
  </si>
  <si>
    <t>94.1%</t>
  </si>
  <si>
    <t>-$630,373,810</t>
  </si>
  <si>
    <t>-$847,754,142</t>
  </si>
  <si>
    <t>Row 1 maximises expected profit.</t>
  </si>
  <si>
    <t>The decision in one line</t>
  </si>
  <si>
    <t>What changes if you approve the discount being asked for.</t>
  </si>
  <si>
    <t>Column 1</t>
  </si>
  <si>
    <t>Best (0%)</t>
  </si>
  <si>
    <t>Asked (25%)</t>
  </si>
  <si>
    <t>Difference</t>
  </si>
  <si>
    <t>+25.0 pts</t>
  </si>
  <si>
    <t>+48.4 pts</t>
  </si>
  <si>
    <t>-$491,684,212</t>
  </si>
  <si>
    <t>-$361,919,397</t>
  </si>
  <si>
    <t>Range where the answer is the same</t>
  </si>
  <si>
    <t>outside it</t>
  </si>
  <si>
    <t>margin of error $3.50M</t>
  </si>
  <si>
    <t>The range where the answer is the same</t>
  </si>
  <si>
    <t>Every discount we tested, how far it falls short of the best, and whether that shortfall is real money or just the model's own margin of error.</t>
  </si>
  <si>
    <t>Short of the best</t>
  </si>
  <si>
    <t>Inside the range?</t>
  </si>
  <si>
    <t>$0</t>
  </si>
  <si>
    <t>Inside</t>
  </si>
  <si>
    <t>safe to approve</t>
  </si>
  <si>
    <t>$18,142,988</t>
  </si>
  <si>
    <t>Outside</t>
  </si>
  <si>
    <t>costs you $18.14M</t>
  </si>
  <si>
    <t>$36,328,754</t>
  </si>
  <si>
    <t>costs you $36.33M</t>
  </si>
  <si>
    <t>$56,730,528</t>
  </si>
  <si>
    <t>costs you $56.73M</t>
  </si>
  <si>
    <t>$80,612,007</t>
  </si>
  <si>
    <t>costs you $80.61M</t>
  </si>
  <si>
    <t>$109,566,203</t>
  </si>
  <si>
    <t>costs you $109.57M</t>
  </si>
  <si>
    <t>$150,479,719</t>
  </si>
  <si>
    <t>costs you $150.48M</t>
  </si>
  <si>
    <t>$194,115,720</t>
  </si>
  <si>
    <t>costs you $194.12M</t>
  </si>
  <si>
    <t>$249,153,954</t>
  </si>
  <si>
    <t>costs you $249.15M</t>
  </si>
  <si>
    <t>$306,302,465</t>
  </si>
  <si>
    <t>costs you $306.30M</t>
  </si>
  <si>
    <t>$361,919,397</t>
  </si>
  <si>
    <t>costs you $361.92M</t>
  </si>
  <si>
    <t>$419,061,242</t>
  </si>
  <si>
    <t>costs you $419.06M</t>
  </si>
  <si>
    <t>$476,659,194</t>
  </si>
  <si>
    <t>costs you $476.66M</t>
  </si>
  <si>
    <t>$526,695,047</t>
  </si>
  <si>
    <t>costs you $526.70M</t>
  </si>
  <si>
    <t>$579,051,442</t>
  </si>
  <si>
    <t>costs you $579.05M</t>
  </si>
  <si>
    <t>$623,399,771</t>
  </si>
  <si>
    <t>costs you $623.40M</t>
  </si>
  <si>
    <t>$674,047,816</t>
  </si>
  <si>
    <t>costs you $674.05M</t>
  </si>
  <si>
    <t>Highlighted rows are the range where the answer is the same (0%) - within about $3.50M of the best.</t>
  </si>
  <si>
    <t>Recommended discount per deal (top 25)</t>
  </si>
  <si>
    <t>The same logic applied to each deal individually.</t>
  </si>
  <si>
    <t>Deal</t>
  </si>
  <si>
    <t>Customer</t>
  </si>
  <si>
    <t>Margin</t>
  </si>
  <si>
    <t>Best discount</t>
  </si>
  <si>
    <t>Q-000000846</t>
  </si>
  <si>
    <t>$11,159,991</t>
  </si>
  <si>
    <t>-0.8%</t>
  </si>
  <si>
    <t>-$32,243</t>
  </si>
  <si>
    <t>Q-000001769</t>
  </si>
  <si>
    <t>$10,909,168</t>
  </si>
  <si>
    <t>7.3%</t>
  </si>
  <si>
    <t>$294,575</t>
  </si>
  <si>
    <t>Q-000001338</t>
  </si>
  <si>
    <t>$10,907,795</t>
  </si>
  <si>
    <t>30.3%</t>
  </si>
  <si>
    <t>$1,226,233</t>
  </si>
  <si>
    <t>Q-000001616</t>
  </si>
  <si>
    <t>$9,335,947</t>
  </si>
  <si>
    <t>-17.8%</t>
  </si>
  <si>
    <t>-$616,922</t>
  </si>
  <si>
    <t>Q-000001456</t>
  </si>
  <si>
    <t>$8,959,167</t>
  </si>
  <si>
    <t>8.7%</t>
  </si>
  <si>
    <t>$288,712</t>
  </si>
  <si>
    <t>Q-000000631</t>
  </si>
  <si>
    <t>$8,552,832</t>
  </si>
  <si>
    <t>12.4%</t>
  </si>
  <si>
    <t>$391,567</t>
  </si>
  <si>
    <t>Q-000000506</t>
  </si>
  <si>
    <t>$8,441,267</t>
  </si>
  <si>
    <t>$703,818</t>
  </si>
  <si>
    <t>Q-000000139</t>
  </si>
  <si>
    <t>$8,206,052</t>
  </si>
  <si>
    <t>11.4%</t>
  </si>
  <si>
    <t>$346,814</t>
  </si>
  <si>
    <t>Q-000001077</t>
  </si>
  <si>
    <t>$7,804,111</t>
  </si>
  <si>
    <t>-0.6%</t>
  </si>
  <si>
    <t>-$17,922</t>
  </si>
  <si>
    <t>Q-000000248</t>
  </si>
  <si>
    <t>$7,137,207</t>
  </si>
  <si>
    <t>8.8%</t>
  </si>
  <si>
    <t>$233,699</t>
  </si>
  <si>
    <t>Q-000001345</t>
  </si>
  <si>
    <t>$7,122,317</t>
  </si>
  <si>
    <t>4.8%</t>
  </si>
  <si>
    <t>$126,895</t>
  </si>
  <si>
    <t>Q-000001195</t>
  </si>
  <si>
    <t>$6,967,127</t>
  </si>
  <si>
    <t>10.8%</t>
  </si>
  <si>
    <t>$278,453</t>
  </si>
  <si>
    <t>Q-000000479</t>
  </si>
  <si>
    <t>$6,946,073</t>
  </si>
  <si>
    <t>$123,240</t>
  </si>
  <si>
    <t>Q-000000030</t>
  </si>
  <si>
    <t>$6,524,061</t>
  </si>
  <si>
    <t>20.5%</t>
  </si>
  <si>
    <t>$496,359</t>
  </si>
  <si>
    <t>Q-000001446</t>
  </si>
  <si>
    <t>$6,436,324</t>
  </si>
  <si>
    <t>10.9%</t>
  </si>
  <si>
    <t>$259,861</t>
  </si>
  <si>
    <t>Q-000001973</t>
  </si>
  <si>
    <t>$6,324,179</t>
  </si>
  <si>
    <t>27.0%</t>
  </si>
  <si>
    <t>$632,946</t>
  </si>
  <si>
    <t>Q-000001251</t>
  </si>
  <si>
    <t>$6,053,921</t>
  </si>
  <si>
    <t>15.8%</t>
  </si>
  <si>
    <t>$353,179</t>
  </si>
  <si>
    <t>Q-000001411</t>
  </si>
  <si>
    <t>$6,000,113</t>
  </si>
  <si>
    <t>22.2%</t>
  </si>
  <si>
    <t>$494,056</t>
  </si>
  <si>
    <t>Q-000000553</t>
  </si>
  <si>
    <t>$5,946,861</t>
  </si>
  <si>
    <t>13.0%</t>
  </si>
  <si>
    <t>$286,578</t>
  </si>
  <si>
    <t>Q-000000226</t>
  </si>
  <si>
    <t>$5,942,804</t>
  </si>
  <si>
    <t>33.4%</t>
  </si>
  <si>
    <t>$734,336</t>
  </si>
  <si>
    <t>Q-000000244</t>
  </si>
  <si>
    <t>$5,703,007</t>
  </si>
  <si>
    <t>16.4%</t>
  </si>
  <si>
    <t>$345,804</t>
  </si>
  <si>
    <t>Q-000001053</t>
  </si>
  <si>
    <t>$5,701,775</t>
  </si>
  <si>
    <t>-23.8%</t>
  </si>
  <si>
    <t>-$502,226</t>
  </si>
  <si>
    <t>Q-000000676</t>
  </si>
  <si>
    <t>$5,636,582</t>
  </si>
  <si>
    <t>-0.5%</t>
  </si>
  <si>
    <t>-$10,648</t>
  </si>
  <si>
    <t>Q-000000960</t>
  </si>
  <si>
    <t>$5,506,333</t>
  </si>
  <si>
    <t>-12.8%</t>
  </si>
  <si>
    <t>-$260,862</t>
  </si>
  <si>
    <t>Q-000001660</t>
  </si>
  <si>
    <t>$5,472,739</t>
  </si>
  <si>
    <t>14.2%</t>
  </si>
  <si>
    <t>$288,664</t>
  </si>
  <si>
    <t>Assumptions and caveats</t>
  </si>
  <si>
    <t>Watch</t>
  </si>
  <si>
    <t>!</t>
  </si>
  <si>
    <t>At 25% discount there is a 100% chance the deal actually costs you money to deliver even if you win it.</t>
  </si>
  <si>
    <t>Assumed</t>
  </si>
  <si>
    <t>List value $1,966,776,723; cost to deliver $1,785,978,353 at the 9.2% standard margin your file implies, plus $63,383,412 of consumption effects on top, giving a total cost base of $1,849,361,764 and an effective 6.0% margin once those effects are included.</t>
  </si>
  <si>
    <t>Consumption effects: 0.2% of value is consumed as unmetered burst you still pay for; 4 months of rollover defers revenue.</t>
  </si>
  <si>
    <t>Win probability curve: from 35.0% at full price toward a ceiling of 95.0%, halfway at 16.7% discount (source: 2000 of your past deals).</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</si>
  <si>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</si>
  <si>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</si>
  <si>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</si>
  <si>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$3.50M at the best one), or smaller than 1% of the best profit - whichever is larger.</t>
  </si>
  <si>
    <t>The range where the answer is the same is 0%, taken from the 17 discount levels we tested.</t>
  </si>
  <si>
    <t>10,000 simulations per discount level; seed 42 (re-running gives identical numbers).</t>
  </si>
  <si>
    <t>Deal / quote ID -&gt; your 'deal_id' column</t>
  </si>
  <si>
    <t>Customer name -&gt; not in your file; not used</t>
  </si>
  <si>
    <t>Deal value (list price) -&gt; your 'deal_value' column</t>
  </si>
  <si>
    <t>Cost to deliver -&gt; your 'cost' column</t>
  </si>
  <si>
    <t>Standard margin (%) -&gt; your 'margin_pct' column</t>
  </si>
  <si>
    <t>Discount given (%) -&gt; your 'discount_pct' column</t>
  </si>
  <si>
    <t>Won? (1/0) -&gt; your 'won' column</t>
  </si>
  <si>
    <t>Hit a consumption tier accelerator -&gt; your 'tier_accelerator_hit' column</t>
  </si>
  <si>
    <t>Unmetered burst used -&gt; your 'burst_allowance_pct' column</t>
  </si>
  <si>
    <t>Rollover window -&gt; your 'rollover_window_months' column</t>
  </si>
  <si>
    <t>Time</t>
  </si>
  <si>
    <t>Phase</t>
  </si>
  <si>
    <t>What happened</t>
  </si>
  <si>
    <t>Technical detail</t>
  </si>
  <si>
    <t>0.00s</t>
  </si>
  <si>
    <t>prepare</t>
  </si>
  <si>
    <t>Opening your file…</t>
  </si>
  <si>
    <t>Found 2,000 rows and 21 columns.</t>
  </si>
  <si>
    <t>source: uc1_tiny.csv</t>
  </si>
  <si>
    <t>You chose 'deal_id' for 'Deal / quote ID'.</t>
  </si>
  <si>
    <t>We could not find a 'Customer name' column. We left it out and will work without it.</t>
  </si>
  <si>
    <t>You chose 'deal_value' for 'Deal value (list price)'.</t>
  </si>
  <si>
    <t>You chose 'cost' for 'Cost to deliver'.</t>
  </si>
  <si>
    <t>You chose 'margin_pct' for 'Standard margin (%)'.</t>
  </si>
  <si>
    <t>You chose 'discount_pct' for 'Discount given (%)'.</t>
  </si>
  <si>
    <t>You chose 'won' for 'Won? (1/0)'.</t>
  </si>
  <si>
    <t>You chose 'tier_accelerator_hit' for 'Hit a consumption tier accelerator'.</t>
  </si>
  <si>
    <t>You chose 'burst_allowance_pct' for 'Unmetered burst used'.</t>
  </si>
  <si>
    <t>You chose 'rollover_window_months' for 'Rollover window'.</t>
  </si>
  <si>
    <t>mapping used</t>
  </si>
  <si>
    <t>0.08s</t>
  </si>
  <si>
    <t>Read 2,000 records into the model.</t>
  </si>
  <si>
    <t>simulate</t>
  </si>
  <si>
    <t>Running the simulation…</t>
  </si>
  <si>
    <t>0.09s</t>
  </si>
  <si>
    <t>read</t>
  </si>
  <si>
    <t>Reading the deal you gave us...</t>
  </si>
  <si>
    <t>0.10s</t>
  </si>
  <si>
    <t>Found 2000 deal(s) worth $1,966.78M at an average 9.2% margin.</t>
  </si>
  <si>
    <t>weighted by deal size; total list value 1,966,776,723; Your margin column is written as percentages, so 40 means 40% and 0.5 means half a percent.</t>
  </si>
  <si>
    <t>Cost to deliver is about $1,785.98M.</t>
  </si>
  <si>
    <t>list value 1,966,776,723 x (1 - 0.092)</t>
  </si>
  <si>
    <t>0.11s</t>
  </si>
  <si>
    <t>Added the consumption effects from your file: $63.38M of extra cost to serve, taking the cost base to $1,849.36M.</t>
  </si>
  <si>
    <t>Working out how much a discount really moves the buyer...</t>
  </si>
  <si>
    <t>0.16s</t>
  </si>
  <si>
    <t>Learned the buyer's behaviour from 2000 past deals (they flip hardest around 16.7% discount).</t>
  </si>
  <si>
    <t>fitted logistic: d50=16.70, steepness=4.99</t>
  </si>
  <si>
    <t>Testing 17 discount levels, 10,000 outcomes each (170,000 scenarios in total)...</t>
  </si>
  <si>
    <t>each scenario asks: do we win, and what do we keep if we do?</t>
  </si>
  <si>
    <t>0.17s</t>
  </si>
  <si>
    <t>Simulated 11% of the discount levels...</t>
  </si>
  <si>
    <t>Simulated 23% of the discount levels...</t>
  </si>
  <si>
    <t>Simulated 35% of the discount levels...</t>
  </si>
  <si>
    <t>Simulated 47% of the discount levels...</t>
  </si>
  <si>
    <t>0.18s</t>
  </si>
  <si>
    <t>Simulated 58% of the discount levels...</t>
  </si>
  <si>
    <t>Simulated 70% of the discount levels...</t>
  </si>
  <si>
    <t>Simulated 82% of the discount levels...</t>
  </si>
  <si>
    <t>Simulated 94% of the discount levels...</t>
  </si>
  <si>
    <t>Simulated 100% of the discount levels...</t>
  </si>
  <si>
    <t>summarize</t>
  </si>
  <si>
    <t>All discount levels tested. Looking for the sweet spot...</t>
  </si>
  <si>
    <t>Checked how much the answer would wobble if we ran it again - the range where the answer is the same is 0%.</t>
  </si>
  <si>
    <t>tolerance 3,498,444 on a peak of 43,674,006</t>
  </si>
  <si>
    <t>0.19s</t>
  </si>
  <si>
    <t>Done. Best discount is 0% ($43.67M expected profit); the range where the answer is the same is 0%.</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</si>
</sst>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4" borderId="4" xfId="0" applyFont="1" applyFill="1" applyBorder="1" applyAlignment="1">
      <alignment vertical="top" wrapText="1"/>
    </xf>
    <xf numFmtId="0" fontId="12"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43674006.34</c:v>
                </c:pt>
                <c:pt idx="1">
                  <c:v>25531018.53</c:v>
                </c:pt>
                <c:pt idx="2">
                  <c:v>7345252.29</c:v>
                </c:pt>
                <c:pt idx="3">
                  <c:v>-13056521.65</c:v>
                </c:pt>
                <c:pt idx="4">
                  <c:v>-36938000.9</c:v>
                </c:pt>
                <c:pt idx="5">
                  <c:v>-65892196.65</c:v>
                </c:pt>
                <c:pt idx="6">
                  <c:v>-106805712.62</c:v>
                </c:pt>
                <c:pt idx="7">
                  <c:v>-150441713.47</c:v>
                </c:pt>
                <c:pt idx="8">
                  <c:v>-205479947.3</c:v>
                </c:pt>
                <c:pt idx="9">
                  <c:v>-262628458.64</c:v>
                </c:pt>
                <c:pt idx="10">
                  <c:v>-318245390.89</c:v>
                </c:pt>
                <c:pt idx="11">
                  <c:v>-375387235.72</c:v>
                </c:pt>
                <c:pt idx="12">
                  <c:v>-432985187.6</c:v>
                </c:pt>
                <c:pt idx="13">
                  <c:v>-483021040.6</c:v>
                </c:pt>
                <c:pt idx="14">
                  <c:v>-535377435.77</c:v>
                </c:pt>
                <c:pt idx="15">
                  <c:v>-579725764.75</c:v>
                </c:pt>
                <c:pt idx="16">
                  <c:v>-630373809.51</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117211950.05</c:v>
                </c:pt>
                <c:pt idx="1">
                  <c:v>69278431.29000001</c:v>
                </c:pt>
                <c:pt idx="2">
                  <c:v>18988643.84</c:v>
                </c:pt>
                <c:pt idx="3">
                  <c:v>-30780998.68</c:v>
                </c:pt>
                <c:pt idx="4">
                  <c:v>-79731295.56</c:v>
                </c:pt>
                <c:pt idx="5">
                  <c:v>-125150024.29</c:v>
                </c:pt>
                <c:pt idx="6">
                  <c:v>-176997849.52</c:v>
                </c:pt>
                <c:pt idx="7">
                  <c:v>-224023880.88</c:v>
                </c:pt>
                <c:pt idx="8">
                  <c:v>-274622468.93</c:v>
                </c:pt>
                <c:pt idx="9">
                  <c:v>-324674733.26</c:v>
                </c:pt>
                <c:pt idx="10">
                  <c:v>-374472262.36</c:v>
                </c:pt>
                <c:pt idx="11">
                  <c:v>-424374068.87</c:v>
                </c:pt>
                <c:pt idx="12">
                  <c:v>-475225167.14</c:v>
                </c:pt>
                <c:pt idx="13">
                  <c:v>-522362016.86</c:v>
                </c:pt>
                <c:pt idx="14">
                  <c:v>-572751350.78</c:v>
                </c:pt>
                <c:pt idx="15">
                  <c:v>-618378624.11</c:v>
                </c:pt>
                <c:pt idx="16">
                  <c:v>-669362260.26</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40175562.21</c:v>
                </c:pt>
                <c:pt idx="1">
                  <c:v>40175562.21</c:v>
                </c:pt>
                <c:pt idx="2">
                  <c:v>40175562.21</c:v>
                </c:pt>
                <c:pt idx="3">
                  <c:v>40175562.21</c:v>
                </c:pt>
                <c:pt idx="4">
                  <c:v>40175562.21</c:v>
                </c:pt>
                <c:pt idx="5">
                  <c:v>40175562.21</c:v>
                </c:pt>
                <c:pt idx="6">
                  <c:v>40175562.21</c:v>
                </c:pt>
                <c:pt idx="7">
                  <c:v>40175562.21</c:v>
                </c:pt>
                <c:pt idx="8">
                  <c:v>40175562.21</c:v>
                </c:pt>
                <c:pt idx="9">
                  <c:v>40175562.21</c:v>
                </c:pt>
                <c:pt idx="10">
                  <c:v>40175562.21</c:v>
                </c:pt>
                <c:pt idx="11">
                  <c:v>40175562.21</c:v>
                </c:pt>
                <c:pt idx="12">
                  <c:v>40175562.21</c:v>
                </c:pt>
                <c:pt idx="13">
                  <c:v>40175562.21</c:v>
                </c:pt>
                <c:pt idx="14">
                  <c:v>40175562.21</c:v>
                </c:pt>
                <c:pt idx="15">
                  <c:v>40175562.21</c:v>
                </c:pt>
                <c:pt idx="16">
                  <c:v>40175562.21</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37.02</c:v>
                </c:pt>
                <c:pt idx="1">
                  <c:v>38.37</c:v>
                </c:pt>
                <c:pt idx="2">
                  <c:v>40.19</c:v>
                </c:pt>
                <c:pt idx="3">
                  <c:v>43.23</c:v>
                </c:pt>
                <c:pt idx="4">
                  <c:v>47.48</c:v>
                </c:pt>
                <c:pt idx="5">
                  <c:v>53.07</c:v>
                </c:pt>
                <c:pt idx="6">
                  <c:v>59.98</c:v>
                </c:pt>
                <c:pt idx="7">
                  <c:v>67.31999999999999</c:v>
                </c:pt>
                <c:pt idx="8">
                  <c:v>74.63</c:v>
                </c:pt>
                <c:pt idx="9">
                  <c:v>80.73</c:v>
                </c:pt>
                <c:pt idx="10">
                  <c:v>85.44</c:v>
                </c:pt>
                <c:pt idx="11">
                  <c:v>88.79000000000001</c:v>
                </c:pt>
                <c:pt idx="12">
                  <c:v>91.12</c:v>
                </c:pt>
                <c:pt idx="13">
                  <c:v>92.48999999999999</c:v>
                </c:pt>
                <c:pt idx="14">
                  <c:v>93.3</c:v>
                </c:pt>
                <c:pt idx="15">
                  <c:v>93.81</c:v>
                </c:pt>
                <c:pt idx="16">
                  <c:v>94.06999999999999</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-215,384,491.08</c:v>
                </c:pt>
                <c:pt idx="1">
                  <c:v>-190,420,246.50</c:v>
                </c:pt>
                <c:pt idx="2">
                  <c:v>-165,456,001.92</c:v>
                </c:pt>
                <c:pt idx="3">
                  <c:v>-140,491,757.34</c:v>
                </c:pt>
                <c:pt idx="4">
                  <c:v>-115,527,512.76</c:v>
                </c:pt>
                <c:pt idx="5">
                  <c:v>-90,563,268.18</c:v>
                </c:pt>
                <c:pt idx="6">
                  <c:v>-65,599,023.59</c:v>
                </c:pt>
                <c:pt idx="7">
                  <c:v>-40,634,779.01</c:v>
                </c:pt>
                <c:pt idx="8">
                  <c:v>-15,670,534.43</c:v>
                </c:pt>
                <c:pt idx="9">
                  <c:v>9,293,710.15</c:v>
                </c:pt>
                <c:pt idx="10">
                  <c:v>34,257,954.73</c:v>
                </c:pt>
                <c:pt idx="11">
                  <c:v>59,222,199.32</c:v>
                </c:pt>
                <c:pt idx="12">
                  <c:v>84,186,443.90</c:v>
                </c:pt>
                <c:pt idx="13">
                  <c:v>109,150,688.48</c:v>
                </c:pt>
                <c:pt idx="14">
                  <c:v>134,114,933.06</c:v>
                </c:pt>
                <c:pt idx="15">
                  <c:v>159,079,177.64</c:v>
                </c:pt>
                <c:pt idx="16">
                  <c:v>184,043,422.23</c:v>
                </c:pt>
                <c:pt idx="17">
                  <c:v>209,007,666.81</c:v>
                </c:pt>
                <c:pt idx="18">
                  <c:v>233,971,911.39</c:v>
                </c:pt>
                <c:pt idx="19">
                  <c:v>258,936,155.97</c:v>
                </c:pt>
                <c:pt idx="20">
                  <c:v>283,900,400.55</c:v>
                </c:pt>
                <c:pt idx="21">
                  <c:v>308,864,645.13</c:v>
                </c:pt>
                <c:pt idx="22">
                  <c:v>333,828,889.72</c:v>
                </c:pt>
                <c:pt idx="23">
                  <c:v>358,793,134.30</c:v>
                </c:pt>
                <c:pt idx="24">
                  <c:v>383,757,378.88</c:v>
                </c:pt>
                <c:pt idx="25">
                  <c:v>408,721,623.46</c:v>
                </c:pt>
                <c:pt idx="26">
                  <c:v>433,685,868.04</c:v>
                </c:pt>
                <c:pt idx="27">
                  <c:v>458,650,112.63</c:v>
                </c:pt>
                <c:pt idx="28">
                  <c:v>483,614,357.21</c:v>
                </c:pt>
                <c:pt idx="29">
                  <c:v>508,578,601.79</c:v>
                </c:pt>
              </c:strCache>
            </c:strRef>
          </c:cat>
          <c:val>
            <c:numRef>
              <c:f>'Chart data'!$J$2:$J$31</c:f>
              <c:numCache>
                <c:formatCode>General</c:formatCode>
                <c:ptCount val="30"/>
                <c:pt idx="0">
                  <c:v>2</c:v>
                </c:pt>
                <c:pt idx="1">
                  <c:v>1</c:v>
                </c:pt>
                <c:pt idx="2">
                  <c:v>1</c:v>
                </c:pt>
                <c:pt idx="3">
                  <c:v>5</c:v>
                </c:pt>
                <c:pt idx="4">
                  <c:v>6</c:v>
                </c:pt>
                <c:pt idx="5">
                  <c:v>9</c:v>
                </c:pt>
                <c:pt idx="6">
                  <c:v>17</c:v>
                </c:pt>
                <c:pt idx="7">
                  <c:v>27</c:v>
                </c:pt>
                <c:pt idx="8">
                  <c:v>23</c:v>
                </c:pt>
                <c:pt idx="9">
                  <c:v>1322</c:v>
                </c:pt>
                <c:pt idx="10">
                  <c:v>50</c:v>
                </c:pt>
                <c:pt idx="11">
                  <c:v>50</c:v>
                </c:pt>
                <c:pt idx="12">
                  <c:v>65</c:v>
                </c:pt>
                <c:pt idx="13">
                  <c:v>67</c:v>
                </c:pt>
                <c:pt idx="14">
                  <c:v>69</c:v>
                </c:pt>
                <c:pt idx="15">
                  <c:v>62</c:v>
                </c:pt>
                <c:pt idx="16">
                  <c:v>44</c:v>
                </c:pt>
                <c:pt idx="17">
                  <c:v>47</c:v>
                </c:pt>
                <c:pt idx="18">
                  <c:v>45</c:v>
                </c:pt>
                <c:pt idx="19">
                  <c:v>33</c:v>
                </c:pt>
                <c:pt idx="20">
                  <c:v>17</c:v>
                </c:pt>
                <c:pt idx="21">
                  <c:v>14</c:v>
                </c:pt>
                <c:pt idx="22">
                  <c:v>11</c:v>
                </c:pt>
                <c:pt idx="23">
                  <c:v>5</c:v>
                </c:pt>
                <c:pt idx="24">
                  <c:v>5</c:v>
                </c:pt>
                <c:pt idx="25">
                  <c:v>0</c:v>
                </c:pt>
                <c:pt idx="26">
                  <c:v>2</c:v>
                </c:pt>
                <c:pt idx="27">
                  <c:v>0</c:v>
                </c:pt>
                <c:pt idx="28">
                  <c:v>0</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22</v>
      </c>
      <c r="C19" s="9" t="s">
        <v>30</v>
      </c>
      <c r="D19" s="9" t="s">
        <v>31</v>
      </c>
    </row>
    <row r="20" spans="1:4">
      <c r="A20" s="11" t="s">
        <v>32</v>
      </c>
      <c r="B20" s="12" t="s">
        <v>33</v>
      </c>
      <c r="C20" s="11" t="s">
        <v>34</v>
      </c>
      <c r="D20" s="11" t="s">
        <v>35</v>
      </c>
    </row>
    <row r="21" spans="1:4">
      <c r="A21" s="13" t="s">
        <v>36</v>
      </c>
      <c r="B21" s="14" t="s">
        <v>37</v>
      </c>
      <c r="C21" s="13" t="s">
        <v>38</v>
      </c>
      <c r="D21" s="13" t="s">
        <v>39</v>
      </c>
    </row>
    <row r="22" spans="1:4">
      <c r="A22" s="13" t="s">
        <v>40</v>
      </c>
      <c r="B22" s="14" t="s">
        <v>41</v>
      </c>
      <c r="C22" s="13" t="s">
        <v>42</v>
      </c>
      <c r="D22" s="13" t="s">
        <v>28</v>
      </c>
    </row>
    <row r="23" spans="1:4">
      <c r="A23" s="15" t="s">
        <v>43</v>
      </c>
      <c r="B23" s="16" t="s">
        <v>44</v>
      </c>
      <c r="C23" s="15" t="s">
        <v>45</v>
      </c>
      <c r="D23" s="15" t="s">
        <v>28</v>
      </c>
    </row>
    <row r="24" spans="1:4">
      <c r="A24" s="11" t="s">
        <v>46</v>
      </c>
      <c r="B24" s="12" t="s">
        <v>47</v>
      </c>
      <c r="C24" s="11" t="s">
        <v>48</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49</v>
      </c>
    </row>
    <row r="2" spans="1:2" ht="34" customHeight="1">
      <c r="A2" s="5" t="s">
        <v>2</v>
      </c>
      <c r="B2" s="5"/>
    </row>
    <row r="4" spans="1:2">
      <c r="A4" s="6" t="s">
        <v>50</v>
      </c>
      <c r="B4" s="3" t="s">
        <v>51</v>
      </c>
    </row>
    <row r="5" spans="1:2">
      <c r="A5" s="6" t="s">
        <v>52</v>
      </c>
      <c r="B5" s="3" t="s">
        <v>53</v>
      </c>
    </row>
    <row r="6" spans="1:2">
      <c r="A6" s="6" t="s">
        <v>54</v>
      </c>
      <c r="B6" s="3" t="s">
        <v>51</v>
      </c>
    </row>
    <row r="8" spans="1:2">
      <c r="A8" s="4" t="s">
        <v>55</v>
      </c>
    </row>
    <row r="9" spans="1:2">
      <c r="A9" s="6" t="s">
        <v>56</v>
      </c>
      <c r="B9" s="3" t="s">
        <v>57</v>
      </c>
    </row>
    <row r="10" spans="1:2">
      <c r="A10" s="6" t="s">
        <v>58</v>
      </c>
      <c r="B10" s="3" t="s">
        <v>59</v>
      </c>
    </row>
    <row r="11" spans="1:2">
      <c r="A11" s="6" t="s">
        <v>60</v>
      </c>
      <c r="B11" s="3" t="s">
        <v>61</v>
      </c>
    </row>
    <row r="12" spans="1:2">
      <c r="A12" s="6" t="s">
        <v>62</v>
      </c>
      <c r="B12" s="3" t="s">
        <v>63</v>
      </c>
    </row>
    <row r="14" spans="1:2">
      <c r="A14" s="4" t="s">
        <v>64</v>
      </c>
    </row>
    <row r="15" spans="1:2">
      <c r="A15" s="6" t="s">
        <v>65</v>
      </c>
      <c r="B15" s="3" t="s">
        <v>66</v>
      </c>
    </row>
    <row r="16" spans="1:2">
      <c r="A16" s="6" t="s">
        <v>67</v>
      </c>
      <c r="B16" s="3" t="s">
        <v>68</v>
      </c>
    </row>
    <row r="17" spans="1:2">
      <c r="A17" s="6" t="s">
        <v>69</v>
      </c>
      <c r="B17" s="3" t="s">
        <v>70</v>
      </c>
    </row>
    <row r="19" spans="1:2">
      <c r="A19" s="4" t="s">
        <v>71</v>
      </c>
    </row>
    <row r="20" spans="1:2">
      <c r="A20" s="6"/>
      <c r="B20" s="3" t="s">
        <v>72</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74</v>
      </c>
      <c r="B1" s="8" t="s">
        <v>92</v>
      </c>
      <c r="C1" s="8" t="s">
        <v>93</v>
      </c>
      <c r="D1" s="8" t="s">
        <v>94</v>
      </c>
      <c r="F1" s="8" t="s">
        <v>96</v>
      </c>
      <c r="G1" s="8" t="s">
        <v>97</v>
      </c>
      <c r="I1" s="8" t="s">
        <v>99</v>
      </c>
      <c r="J1" s="8" t="s">
        <v>130</v>
      </c>
    </row>
    <row r="2" spans="1:10">
      <c r="A2" s="17" t="s">
        <v>75</v>
      </c>
      <c r="B2" s="17">
        <v>43674006.34</v>
      </c>
      <c r="C2" s="17">
        <v>117211950.05</v>
      </c>
      <c r="D2" s="17">
        <v>40175562.21</v>
      </c>
      <c r="F2" s="17" t="s">
        <v>75</v>
      </c>
      <c r="G2" s="17">
        <v>37.02</v>
      </c>
      <c r="I2" s="17" t="s">
        <v>100</v>
      </c>
      <c r="J2" s="17">
        <v>2</v>
      </c>
    </row>
    <row r="3" spans="1:10">
      <c r="A3" s="17" t="s">
        <v>76</v>
      </c>
      <c r="B3" s="17">
        <v>25531018.53</v>
      </c>
      <c r="C3" s="17">
        <v>69278431.29000001</v>
      </c>
      <c r="D3" s="17">
        <v>40175562.21</v>
      </c>
      <c r="F3" s="17" t="s">
        <v>76</v>
      </c>
      <c r="G3" s="17">
        <v>38.37</v>
      </c>
      <c r="I3" s="17" t="s">
        <v>101</v>
      </c>
      <c r="J3" s="17">
        <v>1</v>
      </c>
    </row>
    <row r="4" spans="1:10">
      <c r="A4" s="17" t="s">
        <v>77</v>
      </c>
      <c r="B4" s="17">
        <v>7345252.29</v>
      </c>
      <c r="C4" s="17">
        <v>18988643.84</v>
      </c>
      <c r="D4" s="17">
        <v>40175562.21</v>
      </c>
      <c r="F4" s="17" t="s">
        <v>77</v>
      </c>
      <c r="G4" s="17">
        <v>40.19</v>
      </c>
      <c r="I4" s="17" t="s">
        <v>102</v>
      </c>
      <c r="J4" s="17">
        <v>1</v>
      </c>
    </row>
    <row r="5" spans="1:10">
      <c r="A5" s="17" t="s">
        <v>78</v>
      </c>
      <c r="B5" s="17">
        <v>-13056521.65</v>
      </c>
      <c r="C5" s="17">
        <v>-30780998.68</v>
      </c>
      <c r="D5" s="17">
        <v>40175562.21</v>
      </c>
      <c r="F5" s="17" t="s">
        <v>78</v>
      </c>
      <c r="G5" s="17">
        <v>43.23</v>
      </c>
      <c r="I5" s="17" t="s">
        <v>103</v>
      </c>
      <c r="J5" s="17">
        <v>5</v>
      </c>
    </row>
    <row r="6" spans="1:10">
      <c r="A6" s="17" t="s">
        <v>79</v>
      </c>
      <c r="B6" s="17">
        <v>-36938000.9</v>
      </c>
      <c r="C6" s="17">
        <v>-79731295.56</v>
      </c>
      <c r="D6" s="17">
        <v>40175562.21</v>
      </c>
      <c r="F6" s="17" t="s">
        <v>79</v>
      </c>
      <c r="G6" s="17">
        <v>47.48</v>
      </c>
      <c r="I6" s="17" t="s">
        <v>104</v>
      </c>
      <c r="J6" s="17">
        <v>6</v>
      </c>
    </row>
    <row r="7" spans="1:10">
      <c r="A7" s="17" t="s">
        <v>80</v>
      </c>
      <c r="B7" s="17">
        <v>-65892196.65</v>
      </c>
      <c r="C7" s="17">
        <v>-125150024.29</v>
      </c>
      <c r="D7" s="17">
        <v>40175562.21</v>
      </c>
      <c r="F7" s="17" t="s">
        <v>80</v>
      </c>
      <c r="G7" s="17">
        <v>53.07</v>
      </c>
      <c r="I7" s="17" t="s">
        <v>105</v>
      </c>
      <c r="J7" s="17">
        <v>9</v>
      </c>
    </row>
    <row r="8" spans="1:10">
      <c r="A8" s="17" t="s">
        <v>81</v>
      </c>
      <c r="B8" s="17">
        <v>-106805712.62</v>
      </c>
      <c r="C8" s="17">
        <v>-176997849.52</v>
      </c>
      <c r="D8" s="17">
        <v>40175562.21</v>
      </c>
      <c r="F8" s="17" t="s">
        <v>81</v>
      </c>
      <c r="G8" s="17">
        <v>59.98</v>
      </c>
      <c r="I8" s="17" t="s">
        <v>106</v>
      </c>
      <c r="J8" s="17">
        <v>17</v>
      </c>
    </row>
    <row r="9" spans="1:10">
      <c r="A9" s="17" t="s">
        <v>82</v>
      </c>
      <c r="B9" s="17">
        <v>-150441713.47</v>
      </c>
      <c r="C9" s="17">
        <v>-224023880.88</v>
      </c>
      <c r="D9" s="17">
        <v>40175562.21</v>
      </c>
      <c r="F9" s="17" t="s">
        <v>82</v>
      </c>
      <c r="G9" s="17">
        <v>67.31999999999999</v>
      </c>
      <c r="I9" s="17" t="s">
        <v>107</v>
      </c>
      <c r="J9" s="17">
        <v>27</v>
      </c>
    </row>
    <row r="10" spans="1:10">
      <c r="A10" s="17" t="s">
        <v>83</v>
      </c>
      <c r="B10" s="17">
        <v>-205479947.3</v>
      </c>
      <c r="C10" s="17">
        <v>-274622468.93</v>
      </c>
      <c r="D10" s="17">
        <v>40175562.21</v>
      </c>
      <c r="F10" s="17" t="s">
        <v>83</v>
      </c>
      <c r="G10" s="17">
        <v>74.63</v>
      </c>
      <c r="I10" s="17" t="s">
        <v>108</v>
      </c>
      <c r="J10" s="17">
        <v>23</v>
      </c>
    </row>
    <row r="11" spans="1:10">
      <c r="A11" s="17" t="s">
        <v>84</v>
      </c>
      <c r="B11" s="17">
        <v>-262628458.64</v>
      </c>
      <c r="C11" s="17">
        <v>-324674733.26</v>
      </c>
      <c r="D11" s="17">
        <v>40175562.21</v>
      </c>
      <c r="F11" s="17" t="s">
        <v>84</v>
      </c>
      <c r="G11" s="17">
        <v>80.73</v>
      </c>
      <c r="I11" s="17" t="s">
        <v>109</v>
      </c>
      <c r="J11" s="17">
        <v>1322</v>
      </c>
    </row>
    <row r="12" spans="1:10">
      <c r="A12" s="17" t="s">
        <v>85</v>
      </c>
      <c r="B12" s="17">
        <v>-318245390.89</v>
      </c>
      <c r="C12" s="17">
        <v>-374472262.36</v>
      </c>
      <c r="D12" s="17">
        <v>40175562.21</v>
      </c>
      <c r="F12" s="17" t="s">
        <v>85</v>
      </c>
      <c r="G12" s="17">
        <v>85.44</v>
      </c>
      <c r="I12" s="17" t="s">
        <v>110</v>
      </c>
      <c r="J12" s="17">
        <v>50</v>
      </c>
    </row>
    <row r="13" spans="1:10">
      <c r="A13" s="17" t="s">
        <v>86</v>
      </c>
      <c r="B13" s="17">
        <v>-375387235.72</v>
      </c>
      <c r="C13" s="17">
        <v>-424374068.87</v>
      </c>
      <c r="D13" s="17">
        <v>40175562.21</v>
      </c>
      <c r="F13" s="17" t="s">
        <v>86</v>
      </c>
      <c r="G13" s="17">
        <v>88.79000000000001</v>
      </c>
      <c r="I13" s="17" t="s">
        <v>111</v>
      </c>
      <c r="J13" s="17">
        <v>50</v>
      </c>
    </row>
    <row r="14" spans="1:10">
      <c r="A14" s="17" t="s">
        <v>87</v>
      </c>
      <c r="B14" s="17">
        <v>-432985187.6</v>
      </c>
      <c r="C14" s="17">
        <v>-475225167.14</v>
      </c>
      <c r="D14" s="17">
        <v>40175562.21</v>
      </c>
      <c r="F14" s="17" t="s">
        <v>87</v>
      </c>
      <c r="G14" s="17">
        <v>91.12</v>
      </c>
      <c r="I14" s="17" t="s">
        <v>112</v>
      </c>
      <c r="J14" s="17">
        <v>65</v>
      </c>
    </row>
    <row r="15" spans="1:10">
      <c r="A15" s="17" t="s">
        <v>88</v>
      </c>
      <c r="B15" s="17">
        <v>-483021040.6</v>
      </c>
      <c r="C15" s="17">
        <v>-522362016.86</v>
      </c>
      <c r="D15" s="17">
        <v>40175562.21</v>
      </c>
      <c r="F15" s="17" t="s">
        <v>88</v>
      </c>
      <c r="G15" s="17">
        <v>92.48999999999999</v>
      </c>
      <c r="I15" s="17" t="s">
        <v>113</v>
      </c>
      <c r="J15" s="17">
        <v>67</v>
      </c>
    </row>
    <row r="16" spans="1:10">
      <c r="A16" s="17" t="s">
        <v>89</v>
      </c>
      <c r="B16" s="17">
        <v>-535377435.77</v>
      </c>
      <c r="C16" s="17">
        <v>-572751350.78</v>
      </c>
      <c r="D16" s="17">
        <v>40175562.21</v>
      </c>
      <c r="F16" s="17" t="s">
        <v>89</v>
      </c>
      <c r="G16" s="17">
        <v>93.3</v>
      </c>
      <c r="I16" s="17" t="s">
        <v>114</v>
      </c>
      <c r="J16" s="17">
        <v>69</v>
      </c>
    </row>
    <row r="17" spans="1:10">
      <c r="A17" s="17" t="s">
        <v>90</v>
      </c>
      <c r="B17" s="17">
        <v>-579725764.75</v>
      </c>
      <c r="C17" s="17">
        <v>-618378624.11</v>
      </c>
      <c r="D17" s="17">
        <v>40175562.21</v>
      </c>
      <c r="F17" s="17" t="s">
        <v>90</v>
      </c>
      <c r="G17" s="17">
        <v>93.81</v>
      </c>
      <c r="I17" s="17" t="s">
        <v>115</v>
      </c>
      <c r="J17" s="17">
        <v>62</v>
      </c>
    </row>
    <row r="18" spans="1:10">
      <c r="A18" s="17" t="s">
        <v>91</v>
      </c>
      <c r="B18" s="17">
        <v>-630373809.51</v>
      </c>
      <c r="C18" s="17">
        <v>-669362260.26</v>
      </c>
      <c r="D18" s="17">
        <v>40175562.21</v>
      </c>
      <c r="F18" s="17" t="s">
        <v>91</v>
      </c>
      <c r="G18" s="17">
        <v>94.06999999999999</v>
      </c>
      <c r="I18" s="17" t="s">
        <v>116</v>
      </c>
      <c r="J18" s="17">
        <v>44</v>
      </c>
    </row>
    <row r="19" spans="1:10">
      <c r="I19" s="17" t="s">
        <v>117</v>
      </c>
      <c r="J19" s="17">
        <v>47</v>
      </c>
    </row>
    <row r="20" spans="1:10">
      <c r="I20" s="17" t="s">
        <v>118</v>
      </c>
      <c r="J20" s="17">
        <v>45</v>
      </c>
    </row>
    <row r="21" spans="1:10">
      <c r="I21" s="17" t="s">
        <v>119</v>
      </c>
      <c r="J21" s="17">
        <v>33</v>
      </c>
    </row>
    <row r="22" spans="1:10">
      <c r="I22" s="17" t="s">
        <v>120</v>
      </c>
      <c r="J22" s="17">
        <v>17</v>
      </c>
    </row>
    <row r="23" spans="1:10">
      <c r="I23" s="17" t="s">
        <v>121</v>
      </c>
      <c r="J23" s="17">
        <v>14</v>
      </c>
    </row>
    <row r="24" spans="1:10">
      <c r="I24" s="17" t="s">
        <v>122</v>
      </c>
      <c r="J24" s="17">
        <v>11</v>
      </c>
    </row>
    <row r="25" spans="1:10">
      <c r="I25" s="17" t="s">
        <v>123</v>
      </c>
      <c r="J25" s="17">
        <v>5</v>
      </c>
    </row>
    <row r="26" spans="1:10">
      <c r="I26" s="17" t="s">
        <v>124</v>
      </c>
      <c r="J26" s="17">
        <v>5</v>
      </c>
    </row>
    <row r="27" spans="1:10">
      <c r="I27" s="17" t="s">
        <v>125</v>
      </c>
      <c r="J27" s="17">
        <v>0</v>
      </c>
    </row>
    <row r="28" spans="1:10">
      <c r="I28" s="17" t="s">
        <v>126</v>
      </c>
      <c r="J28" s="17">
        <v>2</v>
      </c>
    </row>
    <row r="29" spans="1:10">
      <c r="I29" s="17" t="s">
        <v>127</v>
      </c>
      <c r="J29" s="17">
        <v>0</v>
      </c>
    </row>
    <row r="30" spans="1:10">
      <c r="I30" s="17" t="s">
        <v>128</v>
      </c>
      <c r="J30" s="17">
        <v>0</v>
      </c>
    </row>
    <row r="31" spans="1:10">
      <c r="I31" s="17" t="s">
        <v>129</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73</v>
      </c>
    </row>
    <row r="3" spans="2:2">
      <c r="B3" t="s">
        <v>74</v>
      </c>
    </row>
    <row r="4" spans="2:2">
      <c r="B4" s="19" t="s">
        <v>95</v>
      </c>
    </row>
    <row r="25" spans="2:2">
      <c r="B25" t="s">
        <v>96</v>
      </c>
    </row>
    <row r="26" spans="2:2">
      <c r="B26" s="19" t="s">
        <v>98</v>
      </c>
    </row>
    <row r="47" spans="2:2">
      <c r="B47" t="s">
        <v>99</v>
      </c>
    </row>
    <row r="48" spans="2:2">
      <c r="B48" s="19" t="s">
        <v>131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6.7109375" customWidth="1"/>
    <col min="4" max="4" width="13.7109375" customWidth="1"/>
    <col min="5" max="5" width="18.7109375" customWidth="1"/>
    <col min="6" max="6" width="15.7109375" customWidth="1"/>
    <col min="7" max="7" width="18.7109375" customWidth="1"/>
  </cols>
  <sheetData>
    <row r="1" spans="1:7">
      <c r="A1" s="4" t="s">
        <v>132</v>
      </c>
    </row>
    <row r="2" spans="1:7">
      <c r="A2" s="20" t="s">
        <v>133</v>
      </c>
    </row>
    <row r="4" spans="1:7" ht="24" customHeight="1">
      <c r="A4" s="8" t="s">
        <v>134</v>
      </c>
      <c r="B4" s="8" t="s">
        <v>135</v>
      </c>
      <c r="C4" s="8" t="s">
        <v>136</v>
      </c>
      <c r="D4" s="8" t="s">
        <v>137</v>
      </c>
      <c r="E4" s="8" t="s">
        <v>92</v>
      </c>
      <c r="F4" s="8" t="s">
        <v>138</v>
      </c>
      <c r="G4" s="8" t="s">
        <v>139</v>
      </c>
    </row>
    <row r="5" spans="1:7">
      <c r="A5" s="10" t="s">
        <v>140</v>
      </c>
      <c r="B5" s="10" t="s">
        <v>141</v>
      </c>
      <c r="C5" s="10" t="s">
        <v>142</v>
      </c>
      <c r="D5" s="10" t="s">
        <v>44</v>
      </c>
      <c r="E5" s="10" t="s">
        <v>143</v>
      </c>
      <c r="F5" s="10" t="s">
        <v>144</v>
      </c>
      <c r="G5" s="10" t="s">
        <v>145</v>
      </c>
    </row>
    <row r="6" spans="1:7">
      <c r="A6" s="17" t="s">
        <v>146</v>
      </c>
      <c r="B6" s="17" t="s">
        <v>147</v>
      </c>
      <c r="C6" s="17" t="s">
        <v>148</v>
      </c>
      <c r="D6" s="17" t="s">
        <v>149</v>
      </c>
      <c r="E6" s="17" t="s">
        <v>150</v>
      </c>
      <c r="F6" s="17" t="s">
        <v>151</v>
      </c>
      <c r="G6" s="17" t="s">
        <v>152</v>
      </c>
    </row>
    <row r="7" spans="1:7">
      <c r="A7" s="17" t="s">
        <v>153</v>
      </c>
      <c r="B7" s="17" t="s">
        <v>154</v>
      </c>
      <c r="C7" s="17" t="s">
        <v>155</v>
      </c>
      <c r="D7" s="17" t="s">
        <v>156</v>
      </c>
      <c r="E7" s="17" t="s">
        <v>157</v>
      </c>
      <c r="F7" s="17" t="s">
        <v>158</v>
      </c>
      <c r="G7" s="17" t="s">
        <v>159</v>
      </c>
    </row>
    <row r="8" spans="1:7">
      <c r="A8" s="17" t="s">
        <v>160</v>
      </c>
      <c r="B8" s="17" t="s">
        <v>161</v>
      </c>
      <c r="C8" s="17" t="s">
        <v>162</v>
      </c>
      <c r="D8" s="17" t="s">
        <v>163</v>
      </c>
      <c r="E8" s="17" t="s">
        <v>164</v>
      </c>
      <c r="F8" s="17" t="s">
        <v>165</v>
      </c>
      <c r="G8" s="17" t="s">
        <v>166</v>
      </c>
    </row>
    <row r="9" spans="1:7">
      <c r="A9" s="17" t="s">
        <v>167</v>
      </c>
      <c r="B9" s="17" t="s">
        <v>168</v>
      </c>
      <c r="C9" s="17" t="s">
        <v>169</v>
      </c>
      <c r="D9" s="17" t="s">
        <v>170</v>
      </c>
      <c r="E9" s="17" t="s">
        <v>171</v>
      </c>
      <c r="F9" s="17" t="s">
        <v>172</v>
      </c>
      <c r="G9" s="17" t="s">
        <v>173</v>
      </c>
    </row>
    <row r="10" spans="1:7">
      <c r="A10" s="17" t="s">
        <v>174</v>
      </c>
      <c r="B10" s="17" t="s">
        <v>175</v>
      </c>
      <c r="C10" s="17" t="s">
        <v>176</v>
      </c>
      <c r="D10" s="17" t="s">
        <v>177</v>
      </c>
      <c r="E10" s="17" t="s">
        <v>178</v>
      </c>
      <c r="F10" s="17" t="s">
        <v>179</v>
      </c>
      <c r="G10" s="17" t="s">
        <v>173</v>
      </c>
    </row>
    <row r="11" spans="1:7">
      <c r="A11" s="17" t="s">
        <v>180</v>
      </c>
      <c r="B11" s="17" t="s">
        <v>181</v>
      </c>
      <c r="C11" s="17" t="s">
        <v>182</v>
      </c>
      <c r="D11" s="17" t="s">
        <v>183</v>
      </c>
      <c r="E11" s="17" t="s">
        <v>184</v>
      </c>
      <c r="F11" s="17" t="s">
        <v>185</v>
      </c>
      <c r="G11" s="17" t="s">
        <v>173</v>
      </c>
    </row>
    <row r="12" spans="1:7">
      <c r="A12" s="17" t="s">
        <v>186</v>
      </c>
      <c r="B12" s="17" t="s">
        <v>187</v>
      </c>
      <c r="C12" s="17" t="s">
        <v>188</v>
      </c>
      <c r="D12" s="17" t="s">
        <v>189</v>
      </c>
      <c r="E12" s="17" t="s">
        <v>190</v>
      </c>
      <c r="F12" s="17" t="s">
        <v>191</v>
      </c>
      <c r="G12" s="17" t="s">
        <v>173</v>
      </c>
    </row>
    <row r="13" spans="1:7">
      <c r="A13" s="17" t="s">
        <v>192</v>
      </c>
      <c r="B13" s="17" t="s">
        <v>193</v>
      </c>
      <c r="C13" s="17" t="s">
        <v>194</v>
      </c>
      <c r="D13" s="17" t="s">
        <v>195</v>
      </c>
      <c r="E13" s="17" t="s">
        <v>196</v>
      </c>
      <c r="F13" s="17" t="s">
        <v>197</v>
      </c>
      <c r="G13" s="17" t="s">
        <v>173</v>
      </c>
    </row>
    <row r="14" spans="1:7">
      <c r="A14" s="17" t="s">
        <v>198</v>
      </c>
      <c r="B14" s="17" t="s">
        <v>199</v>
      </c>
      <c r="C14" s="17" t="s">
        <v>200</v>
      </c>
      <c r="D14" s="17" t="s">
        <v>201</v>
      </c>
      <c r="E14" s="17" t="s">
        <v>202</v>
      </c>
      <c r="F14" s="17" t="s">
        <v>203</v>
      </c>
      <c r="G14" s="17" t="s">
        <v>173</v>
      </c>
    </row>
    <row r="15" spans="1:7">
      <c r="A15" s="17" t="s">
        <v>204</v>
      </c>
      <c r="B15" s="17" t="s">
        <v>205</v>
      </c>
      <c r="C15" s="17" t="s">
        <v>206</v>
      </c>
      <c r="D15" s="17" t="s">
        <v>207</v>
      </c>
      <c r="E15" s="17" t="s">
        <v>208</v>
      </c>
      <c r="F15" s="17" t="s">
        <v>209</v>
      </c>
      <c r="G15" s="17" t="s">
        <v>173</v>
      </c>
    </row>
    <row r="16" spans="1:7">
      <c r="A16" s="17" t="s">
        <v>210</v>
      </c>
      <c r="B16" s="17" t="s">
        <v>211</v>
      </c>
      <c r="C16" s="17" t="s">
        <v>212</v>
      </c>
      <c r="D16" s="17" t="s">
        <v>213</v>
      </c>
      <c r="E16" s="17" t="s">
        <v>214</v>
      </c>
      <c r="F16" s="17" t="s">
        <v>215</v>
      </c>
      <c r="G16" s="17" t="s">
        <v>173</v>
      </c>
    </row>
    <row r="17" spans="1:7">
      <c r="A17" s="17" t="s">
        <v>216</v>
      </c>
      <c r="B17" s="17" t="s">
        <v>217</v>
      </c>
      <c r="C17" s="17" t="s">
        <v>218</v>
      </c>
      <c r="D17" s="17" t="s">
        <v>219</v>
      </c>
      <c r="E17" s="17" t="s">
        <v>220</v>
      </c>
      <c r="F17" s="17" t="s">
        <v>221</v>
      </c>
      <c r="G17" s="17" t="s">
        <v>173</v>
      </c>
    </row>
    <row r="18" spans="1:7">
      <c r="A18" s="17" t="s">
        <v>222</v>
      </c>
      <c r="B18" s="17" t="s">
        <v>223</v>
      </c>
      <c r="C18" s="17" t="s">
        <v>224</v>
      </c>
      <c r="D18" s="17" t="s">
        <v>225</v>
      </c>
      <c r="E18" s="17" t="s">
        <v>226</v>
      </c>
      <c r="F18" s="17" t="s">
        <v>227</v>
      </c>
      <c r="G18" s="17" t="s">
        <v>173</v>
      </c>
    </row>
    <row r="19" spans="1:7">
      <c r="A19" s="17" t="s">
        <v>228</v>
      </c>
      <c r="B19" s="17" t="s">
        <v>229</v>
      </c>
      <c r="C19" s="17" t="s">
        <v>230</v>
      </c>
      <c r="D19" s="17" t="s">
        <v>231</v>
      </c>
      <c r="E19" s="17" t="s">
        <v>232</v>
      </c>
      <c r="F19" s="17" t="s">
        <v>233</v>
      </c>
      <c r="G19" s="17" t="s">
        <v>173</v>
      </c>
    </row>
    <row r="20" spans="1:7">
      <c r="A20" s="17" t="s">
        <v>234</v>
      </c>
      <c r="B20" s="17" t="s">
        <v>235</v>
      </c>
      <c r="C20" s="17" t="s">
        <v>236</v>
      </c>
      <c r="D20" s="17" t="s">
        <v>237</v>
      </c>
      <c r="E20" s="17" t="s">
        <v>238</v>
      </c>
      <c r="F20" s="17" t="s">
        <v>239</v>
      </c>
      <c r="G20" s="17" t="s">
        <v>173</v>
      </c>
    </row>
    <row r="21" spans="1:7">
      <c r="A21" s="17" t="s">
        <v>240</v>
      </c>
      <c r="B21" s="17" t="s">
        <v>241</v>
      </c>
      <c r="C21" s="17" t="s">
        <v>242</v>
      </c>
      <c r="D21" s="17" t="s">
        <v>243</v>
      </c>
      <c r="E21" s="17" t="s">
        <v>244</v>
      </c>
      <c r="F21" s="17" t="s">
        <v>245</v>
      </c>
      <c r="G21" s="17" t="s">
        <v>173</v>
      </c>
    </row>
    <row r="23" spans="1:7">
      <c r="A23" s="20" t="s">
        <v>246</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4.7109375" customWidth="1"/>
    <col min="3" max="3" width="15.7109375" customWidth="1"/>
    <col min="4" max="4" width="24.7109375" customWidth="1"/>
  </cols>
  <sheetData>
    <row r="1" spans="1:4">
      <c r="A1" s="4" t="s">
        <v>247</v>
      </c>
    </row>
    <row r="2" spans="1:4">
      <c r="A2" s="20" t="s">
        <v>248</v>
      </c>
    </row>
    <row r="4" spans="1:4" ht="24" customHeight="1">
      <c r="A4" s="8" t="s">
        <v>249</v>
      </c>
      <c r="B4" s="8" t="s">
        <v>250</v>
      </c>
      <c r="C4" s="8" t="s">
        <v>251</v>
      </c>
      <c r="D4" s="8" t="s">
        <v>252</v>
      </c>
    </row>
    <row r="5" spans="1:4">
      <c r="A5" s="17" t="s">
        <v>134</v>
      </c>
      <c r="B5" s="17" t="s">
        <v>140</v>
      </c>
      <c r="C5" s="17" t="s">
        <v>204</v>
      </c>
      <c r="D5" s="17" t="s">
        <v>253</v>
      </c>
    </row>
    <row r="6" spans="1:4">
      <c r="A6" s="17" t="s">
        <v>137</v>
      </c>
      <c r="B6" s="17" t="s">
        <v>44</v>
      </c>
      <c r="C6" s="17" t="s">
        <v>207</v>
      </c>
      <c r="D6" s="17" t="s">
        <v>254</v>
      </c>
    </row>
    <row r="7" spans="1:4">
      <c r="A7" s="17" t="s">
        <v>136</v>
      </c>
      <c r="B7" s="17" t="s">
        <v>142</v>
      </c>
      <c r="C7" s="17" t="s">
        <v>206</v>
      </c>
      <c r="D7" s="17" t="s">
        <v>255</v>
      </c>
    </row>
    <row r="8" spans="1:4">
      <c r="A8" s="17" t="s">
        <v>92</v>
      </c>
      <c r="B8" s="17" t="s">
        <v>143</v>
      </c>
      <c r="C8" s="17" t="s">
        <v>208</v>
      </c>
      <c r="D8" s="17" t="s">
        <v>256</v>
      </c>
    </row>
    <row r="9" spans="1:4">
      <c r="A9" s="17" t="s">
        <v>257</v>
      </c>
      <c r="B9" s="17" t="s">
        <v>22</v>
      </c>
      <c r="C9" s="17" t="s">
        <v>258</v>
      </c>
      <c r="D9" s="17" t="s">
        <v>259</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5" width="20.7109375" customWidth="1"/>
  </cols>
  <sheetData>
    <row r="1" spans="1:5">
      <c r="A1" s="4" t="s">
        <v>260</v>
      </c>
    </row>
    <row r="2" spans="1:5">
      <c r="A2" s="20" t="s">
        <v>261</v>
      </c>
    </row>
    <row r="4" spans="1:5" ht="24" customHeight="1">
      <c r="A4" s="8" t="s">
        <v>134</v>
      </c>
      <c r="B4" s="8" t="s">
        <v>92</v>
      </c>
      <c r="C4" s="8" t="s">
        <v>262</v>
      </c>
      <c r="D4" s="8" t="s">
        <v>263</v>
      </c>
      <c r="E4" s="8" t="s">
        <v>19</v>
      </c>
    </row>
    <row r="5" spans="1:5">
      <c r="A5" s="10" t="s">
        <v>140</v>
      </c>
      <c r="B5" s="10" t="s">
        <v>143</v>
      </c>
      <c r="C5" s="10" t="s">
        <v>264</v>
      </c>
      <c r="D5" s="10" t="s">
        <v>265</v>
      </c>
      <c r="E5" s="10" t="s">
        <v>266</v>
      </c>
    </row>
    <row r="6" spans="1:5">
      <c r="A6" s="17" t="s">
        <v>146</v>
      </c>
      <c r="B6" s="17" t="s">
        <v>150</v>
      </c>
      <c r="C6" s="17" t="s">
        <v>267</v>
      </c>
      <c r="D6" s="17" t="s">
        <v>268</v>
      </c>
      <c r="E6" s="17" t="s">
        <v>269</v>
      </c>
    </row>
    <row r="7" spans="1:5">
      <c r="A7" s="17" t="s">
        <v>153</v>
      </c>
      <c r="B7" s="17" t="s">
        <v>157</v>
      </c>
      <c r="C7" s="17" t="s">
        <v>270</v>
      </c>
      <c r="D7" s="17" t="s">
        <v>268</v>
      </c>
      <c r="E7" s="17" t="s">
        <v>271</v>
      </c>
    </row>
    <row r="8" spans="1:5">
      <c r="A8" s="17" t="s">
        <v>160</v>
      </c>
      <c r="B8" s="17" t="s">
        <v>164</v>
      </c>
      <c r="C8" s="17" t="s">
        <v>272</v>
      </c>
      <c r="D8" s="17" t="s">
        <v>268</v>
      </c>
      <c r="E8" s="17" t="s">
        <v>273</v>
      </c>
    </row>
    <row r="9" spans="1:5">
      <c r="A9" s="17" t="s">
        <v>167</v>
      </c>
      <c r="B9" s="17" t="s">
        <v>171</v>
      </c>
      <c r="C9" s="17" t="s">
        <v>274</v>
      </c>
      <c r="D9" s="17" t="s">
        <v>268</v>
      </c>
      <c r="E9" s="17" t="s">
        <v>275</v>
      </c>
    </row>
    <row r="10" spans="1:5">
      <c r="A10" s="17" t="s">
        <v>174</v>
      </c>
      <c r="B10" s="17" t="s">
        <v>178</v>
      </c>
      <c r="C10" s="17" t="s">
        <v>276</v>
      </c>
      <c r="D10" s="17" t="s">
        <v>268</v>
      </c>
      <c r="E10" s="17" t="s">
        <v>277</v>
      </c>
    </row>
    <row r="11" spans="1:5">
      <c r="A11" s="17" t="s">
        <v>180</v>
      </c>
      <c r="B11" s="17" t="s">
        <v>184</v>
      </c>
      <c r="C11" s="17" t="s">
        <v>278</v>
      </c>
      <c r="D11" s="17" t="s">
        <v>268</v>
      </c>
      <c r="E11" s="17" t="s">
        <v>279</v>
      </c>
    </row>
    <row r="12" spans="1:5">
      <c r="A12" s="17" t="s">
        <v>186</v>
      </c>
      <c r="B12" s="17" t="s">
        <v>190</v>
      </c>
      <c r="C12" s="17" t="s">
        <v>280</v>
      </c>
      <c r="D12" s="17" t="s">
        <v>268</v>
      </c>
      <c r="E12" s="17" t="s">
        <v>281</v>
      </c>
    </row>
    <row r="13" spans="1:5">
      <c r="A13" s="17" t="s">
        <v>192</v>
      </c>
      <c r="B13" s="17" t="s">
        <v>196</v>
      </c>
      <c r="C13" s="17" t="s">
        <v>282</v>
      </c>
      <c r="D13" s="17" t="s">
        <v>268</v>
      </c>
      <c r="E13" s="17" t="s">
        <v>283</v>
      </c>
    </row>
    <row r="14" spans="1:5">
      <c r="A14" s="17" t="s">
        <v>198</v>
      </c>
      <c r="B14" s="17" t="s">
        <v>202</v>
      </c>
      <c r="C14" s="17" t="s">
        <v>284</v>
      </c>
      <c r="D14" s="17" t="s">
        <v>268</v>
      </c>
      <c r="E14" s="17" t="s">
        <v>285</v>
      </c>
    </row>
    <row r="15" spans="1:5">
      <c r="A15" s="17" t="s">
        <v>204</v>
      </c>
      <c r="B15" s="17" t="s">
        <v>208</v>
      </c>
      <c r="C15" s="17" t="s">
        <v>286</v>
      </c>
      <c r="D15" s="17" t="s">
        <v>268</v>
      </c>
      <c r="E15" s="17" t="s">
        <v>287</v>
      </c>
    </row>
    <row r="16" spans="1:5">
      <c r="A16" s="17" t="s">
        <v>210</v>
      </c>
      <c r="B16" s="17" t="s">
        <v>214</v>
      </c>
      <c r="C16" s="17" t="s">
        <v>288</v>
      </c>
      <c r="D16" s="17" t="s">
        <v>268</v>
      </c>
      <c r="E16" s="17" t="s">
        <v>289</v>
      </c>
    </row>
    <row r="17" spans="1:5">
      <c r="A17" s="17" t="s">
        <v>216</v>
      </c>
      <c r="B17" s="17" t="s">
        <v>220</v>
      </c>
      <c r="C17" s="17" t="s">
        <v>290</v>
      </c>
      <c r="D17" s="17" t="s">
        <v>268</v>
      </c>
      <c r="E17" s="17" t="s">
        <v>291</v>
      </c>
    </row>
    <row r="18" spans="1:5">
      <c r="A18" s="17" t="s">
        <v>222</v>
      </c>
      <c r="B18" s="17" t="s">
        <v>226</v>
      </c>
      <c r="C18" s="17" t="s">
        <v>292</v>
      </c>
      <c r="D18" s="17" t="s">
        <v>268</v>
      </c>
      <c r="E18" s="17" t="s">
        <v>293</v>
      </c>
    </row>
    <row r="19" spans="1:5">
      <c r="A19" s="17" t="s">
        <v>228</v>
      </c>
      <c r="B19" s="17" t="s">
        <v>232</v>
      </c>
      <c r="C19" s="17" t="s">
        <v>294</v>
      </c>
      <c r="D19" s="17" t="s">
        <v>268</v>
      </c>
      <c r="E19" s="17" t="s">
        <v>295</v>
      </c>
    </row>
    <row r="20" spans="1:5">
      <c r="A20" s="17" t="s">
        <v>234</v>
      </c>
      <c r="B20" s="17" t="s">
        <v>238</v>
      </c>
      <c r="C20" s="17" t="s">
        <v>296</v>
      </c>
      <c r="D20" s="17" t="s">
        <v>268</v>
      </c>
      <c r="E20" s="17" t="s">
        <v>297</v>
      </c>
    </row>
    <row r="21" spans="1:5">
      <c r="A21" s="17" t="s">
        <v>240</v>
      </c>
      <c r="B21" s="17" t="s">
        <v>244</v>
      </c>
      <c r="C21" s="17" t="s">
        <v>298</v>
      </c>
      <c r="D21" s="17" t="s">
        <v>268</v>
      </c>
      <c r="E21" s="17" t="s">
        <v>299</v>
      </c>
    </row>
    <row r="23" spans="1:5">
      <c r="A23" s="20" t="s">
        <v>300</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9"/>
  <sheetViews>
    <sheetView showGridLines="0" workbookViewId="0">
      <pane ySplit="4" topLeftCell="A5" activePane="bottomLeft" state="frozen"/>
      <selection pane="bottomLeft"/>
    </sheetView>
  </sheetViews>
  <sheetFormatPr defaultRowHeight="15"/>
  <cols>
    <col min="1" max="1" width="13.7109375" customWidth="1"/>
    <col min="2" max="2" width="11.7109375" customWidth="1"/>
    <col min="3" max="3" width="13.7109375" customWidth="1"/>
    <col min="4" max="4" width="11.7109375" customWidth="1"/>
    <col min="5" max="5" width="16.7109375" customWidth="1"/>
    <col min="6" max="6" width="18.7109375" customWidth="1"/>
  </cols>
  <sheetData>
    <row r="1" spans="1:6">
      <c r="A1" s="4" t="s">
        <v>301</v>
      </c>
    </row>
    <row r="2" spans="1:6">
      <c r="A2" s="20" t="s">
        <v>302</v>
      </c>
    </row>
    <row r="4" spans="1:6" ht="24" customHeight="1">
      <c r="A4" s="8" t="s">
        <v>303</v>
      </c>
      <c r="B4" s="8" t="s">
        <v>304</v>
      </c>
      <c r="C4" s="8" t="s">
        <v>18</v>
      </c>
      <c r="D4" s="8" t="s">
        <v>305</v>
      </c>
      <c r="E4" s="8" t="s">
        <v>306</v>
      </c>
      <c r="F4" s="8" t="s">
        <v>92</v>
      </c>
    </row>
    <row r="5" spans="1:6">
      <c r="A5" s="17" t="s">
        <v>307</v>
      </c>
      <c r="B5" s="17" t="s">
        <v>28</v>
      </c>
      <c r="C5" s="17" t="s">
        <v>308</v>
      </c>
      <c r="D5" s="17" t="s">
        <v>309</v>
      </c>
      <c r="E5" s="17" t="s">
        <v>22</v>
      </c>
      <c r="F5" s="17" t="s">
        <v>310</v>
      </c>
    </row>
    <row r="6" spans="1:6">
      <c r="A6" s="17" t="s">
        <v>311</v>
      </c>
      <c r="B6" s="17" t="s">
        <v>28</v>
      </c>
      <c r="C6" s="17" t="s">
        <v>312</v>
      </c>
      <c r="D6" s="17" t="s">
        <v>313</v>
      </c>
      <c r="E6" s="17" t="s">
        <v>22</v>
      </c>
      <c r="F6" s="17" t="s">
        <v>314</v>
      </c>
    </row>
    <row r="7" spans="1:6">
      <c r="A7" s="17" t="s">
        <v>315</v>
      </c>
      <c r="B7" s="17" t="s">
        <v>28</v>
      </c>
      <c r="C7" s="17" t="s">
        <v>316</v>
      </c>
      <c r="D7" s="17" t="s">
        <v>317</v>
      </c>
      <c r="E7" s="17" t="s">
        <v>22</v>
      </c>
      <c r="F7" s="17" t="s">
        <v>318</v>
      </c>
    </row>
    <row r="8" spans="1:6">
      <c r="A8" s="17" t="s">
        <v>319</v>
      </c>
      <c r="B8" s="17" t="s">
        <v>28</v>
      </c>
      <c r="C8" s="17" t="s">
        <v>320</v>
      </c>
      <c r="D8" s="17" t="s">
        <v>321</v>
      </c>
      <c r="E8" s="17" t="s">
        <v>22</v>
      </c>
      <c r="F8" s="17" t="s">
        <v>322</v>
      </c>
    </row>
    <row r="9" spans="1:6">
      <c r="A9" s="17" t="s">
        <v>323</v>
      </c>
      <c r="B9" s="17" t="s">
        <v>28</v>
      </c>
      <c r="C9" s="17" t="s">
        <v>324</v>
      </c>
      <c r="D9" s="17" t="s">
        <v>325</v>
      </c>
      <c r="E9" s="17" t="s">
        <v>22</v>
      </c>
      <c r="F9" s="17" t="s">
        <v>326</v>
      </c>
    </row>
    <row r="10" spans="1:6">
      <c r="A10" s="17" t="s">
        <v>327</v>
      </c>
      <c r="B10" s="17" t="s">
        <v>28</v>
      </c>
      <c r="C10" s="17" t="s">
        <v>328</v>
      </c>
      <c r="D10" s="17" t="s">
        <v>329</v>
      </c>
      <c r="E10" s="17" t="s">
        <v>22</v>
      </c>
      <c r="F10" s="17" t="s">
        <v>330</v>
      </c>
    </row>
    <row r="11" spans="1:6">
      <c r="A11" s="17" t="s">
        <v>331</v>
      </c>
      <c r="B11" s="17" t="s">
        <v>28</v>
      </c>
      <c r="C11" s="17" t="s">
        <v>332</v>
      </c>
      <c r="D11" s="17" t="s">
        <v>198</v>
      </c>
      <c r="E11" s="17" t="s">
        <v>22</v>
      </c>
      <c r="F11" s="17" t="s">
        <v>333</v>
      </c>
    </row>
    <row r="12" spans="1:6">
      <c r="A12" s="17" t="s">
        <v>334</v>
      </c>
      <c r="B12" s="17" t="s">
        <v>28</v>
      </c>
      <c r="C12" s="17" t="s">
        <v>335</v>
      </c>
      <c r="D12" s="17" t="s">
        <v>336</v>
      </c>
      <c r="E12" s="17" t="s">
        <v>22</v>
      </c>
      <c r="F12" s="17" t="s">
        <v>337</v>
      </c>
    </row>
    <row r="13" spans="1:6">
      <c r="A13" s="17" t="s">
        <v>338</v>
      </c>
      <c r="B13" s="17" t="s">
        <v>28</v>
      </c>
      <c r="C13" s="17" t="s">
        <v>339</v>
      </c>
      <c r="D13" s="17" t="s">
        <v>340</v>
      </c>
      <c r="E13" s="17" t="s">
        <v>22</v>
      </c>
      <c r="F13" s="17" t="s">
        <v>341</v>
      </c>
    </row>
    <row r="14" spans="1:6">
      <c r="A14" s="17" t="s">
        <v>342</v>
      </c>
      <c r="B14" s="17" t="s">
        <v>28</v>
      </c>
      <c r="C14" s="17" t="s">
        <v>343</v>
      </c>
      <c r="D14" s="17" t="s">
        <v>344</v>
      </c>
      <c r="E14" s="17" t="s">
        <v>22</v>
      </c>
      <c r="F14" s="17" t="s">
        <v>345</v>
      </c>
    </row>
    <row r="15" spans="1:6">
      <c r="A15" s="17" t="s">
        <v>346</v>
      </c>
      <c r="B15" s="17" t="s">
        <v>28</v>
      </c>
      <c r="C15" s="17" t="s">
        <v>347</v>
      </c>
      <c r="D15" s="17" t="s">
        <v>348</v>
      </c>
      <c r="E15" s="17" t="s">
        <v>22</v>
      </c>
      <c r="F15" s="17" t="s">
        <v>349</v>
      </c>
    </row>
    <row r="16" spans="1:6">
      <c r="A16" s="17" t="s">
        <v>350</v>
      </c>
      <c r="B16" s="17" t="s">
        <v>28</v>
      </c>
      <c r="C16" s="17" t="s">
        <v>351</v>
      </c>
      <c r="D16" s="17" t="s">
        <v>352</v>
      </c>
      <c r="E16" s="17" t="s">
        <v>22</v>
      </c>
      <c r="F16" s="17" t="s">
        <v>353</v>
      </c>
    </row>
    <row r="17" spans="1:6">
      <c r="A17" s="17" t="s">
        <v>354</v>
      </c>
      <c r="B17" s="17" t="s">
        <v>28</v>
      </c>
      <c r="C17" s="17" t="s">
        <v>355</v>
      </c>
      <c r="D17" s="17" t="s">
        <v>348</v>
      </c>
      <c r="E17" s="17" t="s">
        <v>22</v>
      </c>
      <c r="F17" s="17" t="s">
        <v>356</v>
      </c>
    </row>
    <row r="18" spans="1:6">
      <c r="A18" s="17" t="s">
        <v>357</v>
      </c>
      <c r="B18" s="17" t="s">
        <v>28</v>
      </c>
      <c r="C18" s="17" t="s">
        <v>358</v>
      </c>
      <c r="D18" s="17" t="s">
        <v>359</v>
      </c>
      <c r="E18" s="17" t="s">
        <v>22</v>
      </c>
      <c r="F18" s="17" t="s">
        <v>360</v>
      </c>
    </row>
    <row r="19" spans="1:6">
      <c r="A19" s="17" t="s">
        <v>361</v>
      </c>
      <c r="B19" s="17" t="s">
        <v>28</v>
      </c>
      <c r="C19" s="17" t="s">
        <v>362</v>
      </c>
      <c r="D19" s="17" t="s">
        <v>363</v>
      </c>
      <c r="E19" s="17" t="s">
        <v>22</v>
      </c>
      <c r="F19" s="17" t="s">
        <v>364</v>
      </c>
    </row>
    <row r="20" spans="1:6">
      <c r="A20" s="17" t="s">
        <v>365</v>
      </c>
      <c r="B20" s="17" t="s">
        <v>28</v>
      </c>
      <c r="C20" s="17" t="s">
        <v>366</v>
      </c>
      <c r="D20" s="17" t="s">
        <v>367</v>
      </c>
      <c r="E20" s="17" t="s">
        <v>22</v>
      </c>
      <c r="F20" s="17" t="s">
        <v>368</v>
      </c>
    </row>
    <row r="21" spans="1:6">
      <c r="A21" s="17" t="s">
        <v>369</v>
      </c>
      <c r="B21" s="17" t="s">
        <v>28</v>
      </c>
      <c r="C21" s="17" t="s">
        <v>370</v>
      </c>
      <c r="D21" s="17" t="s">
        <v>371</v>
      </c>
      <c r="E21" s="17" t="s">
        <v>22</v>
      </c>
      <c r="F21" s="17" t="s">
        <v>372</v>
      </c>
    </row>
    <row r="22" spans="1:6">
      <c r="A22" s="17" t="s">
        <v>373</v>
      </c>
      <c r="B22" s="17" t="s">
        <v>28</v>
      </c>
      <c r="C22" s="17" t="s">
        <v>374</v>
      </c>
      <c r="D22" s="17" t="s">
        <v>375</v>
      </c>
      <c r="E22" s="17" t="s">
        <v>22</v>
      </c>
      <c r="F22" s="17" t="s">
        <v>376</v>
      </c>
    </row>
    <row r="23" spans="1:6">
      <c r="A23" s="17" t="s">
        <v>377</v>
      </c>
      <c r="B23" s="17" t="s">
        <v>28</v>
      </c>
      <c r="C23" s="17" t="s">
        <v>378</v>
      </c>
      <c r="D23" s="17" t="s">
        <v>379</v>
      </c>
      <c r="E23" s="17" t="s">
        <v>22</v>
      </c>
      <c r="F23" s="17" t="s">
        <v>380</v>
      </c>
    </row>
    <row r="24" spans="1:6">
      <c r="A24" s="17" t="s">
        <v>381</v>
      </c>
      <c r="B24" s="17" t="s">
        <v>28</v>
      </c>
      <c r="C24" s="17" t="s">
        <v>382</v>
      </c>
      <c r="D24" s="17" t="s">
        <v>383</v>
      </c>
      <c r="E24" s="17" t="s">
        <v>22</v>
      </c>
      <c r="F24" s="17" t="s">
        <v>384</v>
      </c>
    </row>
    <row r="25" spans="1:6">
      <c r="A25" s="17" t="s">
        <v>385</v>
      </c>
      <c r="B25" s="17" t="s">
        <v>28</v>
      </c>
      <c r="C25" s="17" t="s">
        <v>386</v>
      </c>
      <c r="D25" s="17" t="s">
        <v>387</v>
      </c>
      <c r="E25" s="17" t="s">
        <v>22</v>
      </c>
      <c r="F25" s="17" t="s">
        <v>388</v>
      </c>
    </row>
    <row r="26" spans="1:6">
      <c r="A26" s="17" t="s">
        <v>389</v>
      </c>
      <c r="B26" s="17" t="s">
        <v>28</v>
      </c>
      <c r="C26" s="17" t="s">
        <v>390</v>
      </c>
      <c r="D26" s="17" t="s">
        <v>391</v>
      </c>
      <c r="E26" s="17" t="s">
        <v>22</v>
      </c>
      <c r="F26" s="17" t="s">
        <v>392</v>
      </c>
    </row>
    <row r="27" spans="1:6">
      <c r="A27" s="17" t="s">
        <v>393</v>
      </c>
      <c r="B27" s="17" t="s">
        <v>28</v>
      </c>
      <c r="C27" s="17" t="s">
        <v>394</v>
      </c>
      <c r="D27" s="17" t="s">
        <v>395</v>
      </c>
      <c r="E27" s="17" t="s">
        <v>22</v>
      </c>
      <c r="F27" s="17" t="s">
        <v>396</v>
      </c>
    </row>
    <row r="28" spans="1:6">
      <c r="A28" s="17" t="s">
        <v>397</v>
      </c>
      <c r="B28" s="17" t="s">
        <v>28</v>
      </c>
      <c r="C28" s="17" t="s">
        <v>398</v>
      </c>
      <c r="D28" s="17" t="s">
        <v>399</v>
      </c>
      <c r="E28" s="17" t="s">
        <v>22</v>
      </c>
      <c r="F28" s="17" t="s">
        <v>400</v>
      </c>
    </row>
    <row r="29" spans="1:6">
      <c r="A29" s="17" t="s">
        <v>401</v>
      </c>
      <c r="B29" s="17" t="s">
        <v>28</v>
      </c>
      <c r="C29" s="17" t="s">
        <v>402</v>
      </c>
      <c r="D29" s="17" t="s">
        <v>403</v>
      </c>
      <c r="E29" s="17" t="s">
        <v>22</v>
      </c>
      <c r="F29" s="17" t="s">
        <v>404</v>
      </c>
    </row>
  </sheetData>
  <autoFilter ref="A4:F29"/>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5"/>
  <sheetViews>
    <sheetView showGridLines="0" workbookViewId="0"/>
  </sheetViews>
  <sheetFormatPr defaultRowHeight="15"/>
  <cols>
    <col min="1" max="1" width="8.7109375" customWidth="1"/>
    <col min="2" max="2" width="110.7109375" customWidth="1"/>
  </cols>
  <sheetData>
    <row r="1" spans="1:2">
      <c r="A1" s="4" t="s">
        <v>405</v>
      </c>
    </row>
    <row r="3" spans="1:2">
      <c r="A3" s="6" t="s">
        <v>406</v>
      </c>
    </row>
    <row r="4" spans="1:2">
      <c r="A4" s="6" t="s">
        <v>407</v>
      </c>
      <c r="B4" s="21" t="s">
        <v>408</v>
      </c>
    </row>
    <row r="6" spans="1:2">
      <c r="A6" s="6" t="s">
        <v>409</v>
      </c>
    </row>
    <row r="7" spans="1:2">
      <c r="A7" s="6">
        <v>1</v>
      </c>
      <c r="B7" s="3" t="s">
        <v>410</v>
      </c>
    </row>
    <row r="8" spans="1:2">
      <c r="A8" s="6">
        <v>2</v>
      </c>
      <c r="B8" s="3" t="s">
        <v>411</v>
      </c>
    </row>
    <row r="9" spans="1:2">
      <c r="A9" s="6">
        <v>3</v>
      </c>
      <c r="B9" s="3" t="s">
        <v>412</v>
      </c>
    </row>
    <row r="10" spans="1:2">
      <c r="A10" s="6">
        <v>4</v>
      </c>
      <c r="B10" s="3" t="s">
        <v>413</v>
      </c>
    </row>
    <row r="11" spans="1:2">
      <c r="A11" s="6">
        <v>5</v>
      </c>
      <c r="B11" s="3" t="s">
        <v>414</v>
      </c>
    </row>
    <row r="12" spans="1:2">
      <c r="A12" s="6">
        <v>6</v>
      </c>
      <c r="B12" s="3" t="s">
        <v>415</v>
      </c>
    </row>
    <row r="13" spans="1:2">
      <c r="A13" s="6">
        <v>7</v>
      </c>
      <c r="B13" s="3" t="s">
        <v>416</v>
      </c>
    </row>
    <row r="14" spans="1:2">
      <c r="A14" s="6">
        <v>8</v>
      </c>
      <c r="B14" s="3" t="s">
        <v>417</v>
      </c>
    </row>
    <row r="15" spans="1:2">
      <c r="A15" s="6">
        <v>9</v>
      </c>
      <c r="B15" s="3" t="s">
        <v>418</v>
      </c>
    </row>
    <row r="16" spans="1:2">
      <c r="A16" s="6">
        <v>10</v>
      </c>
      <c r="B16" s="3" t="s">
        <v>419</v>
      </c>
    </row>
    <row r="17" spans="1:2">
      <c r="A17" s="6">
        <v>11</v>
      </c>
      <c r="B17" s="3" t="s">
        <v>420</v>
      </c>
    </row>
    <row r="18" spans="1:2">
      <c r="A18" s="6">
        <v>12</v>
      </c>
      <c r="B18" s="3" t="s">
        <v>421</v>
      </c>
    </row>
    <row r="19" spans="1:2">
      <c r="A19" s="6">
        <v>13</v>
      </c>
      <c r="B19" s="3" t="s">
        <v>422</v>
      </c>
    </row>
    <row r="20" spans="1:2">
      <c r="A20" s="6">
        <v>14</v>
      </c>
      <c r="B20" s="3" t="s">
        <v>423</v>
      </c>
    </row>
    <row r="21" spans="1:2">
      <c r="A21" s="6">
        <v>15</v>
      </c>
      <c r="B21" s="3" t="s">
        <v>424</v>
      </c>
    </row>
    <row r="22" spans="1:2">
      <c r="A22" s="6">
        <v>16</v>
      </c>
      <c r="B22" s="3" t="s">
        <v>425</v>
      </c>
    </row>
    <row r="23" spans="1:2">
      <c r="A23" s="6">
        <v>17</v>
      </c>
      <c r="B23" s="3" t="s">
        <v>426</v>
      </c>
    </row>
    <row r="24" spans="1:2">
      <c r="A24" s="6">
        <v>18</v>
      </c>
      <c r="B24" s="3" t="s">
        <v>427</v>
      </c>
    </row>
    <row r="25" spans="1:2">
      <c r="A25" s="6">
        <v>19</v>
      </c>
      <c r="B25" s="3" t="s">
        <v>428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4"/>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429</v>
      </c>
      <c r="B1" s="8" t="s">
        <v>430</v>
      </c>
      <c r="C1" s="8" t="s">
        <v>431</v>
      </c>
      <c r="D1" s="8" t="s">
        <v>432</v>
      </c>
    </row>
    <row r="2" spans="1:4">
      <c r="A2" s="22" t="s">
        <v>433</v>
      </c>
      <c r="B2" s="17" t="s">
        <v>434</v>
      </c>
      <c r="C2" s="23" t="s">
        <v>435</v>
      </c>
      <c r="D2" s="23"/>
    </row>
    <row r="3" spans="1:4">
      <c r="A3" s="22" t="s">
        <v>433</v>
      </c>
      <c r="B3" s="17" t="s">
        <v>434</v>
      </c>
      <c r="C3" s="23" t="s">
        <v>436</v>
      </c>
      <c r="D3" s="23" t="s">
        <v>437</v>
      </c>
    </row>
    <row r="4" spans="1:4">
      <c r="A4" s="22" t="s">
        <v>433</v>
      </c>
      <c r="B4" s="17" t="s">
        <v>434</v>
      </c>
      <c r="C4" s="23" t="s">
        <v>438</v>
      </c>
      <c r="D4" s="23"/>
    </row>
    <row r="5" spans="1:4">
      <c r="A5" s="22" t="s">
        <v>433</v>
      </c>
      <c r="B5" s="17" t="s">
        <v>434</v>
      </c>
      <c r="C5" s="23" t="s">
        <v>439</v>
      </c>
      <c r="D5" s="23"/>
    </row>
    <row r="6" spans="1:4">
      <c r="A6" s="22" t="s">
        <v>433</v>
      </c>
      <c r="B6" s="17" t="s">
        <v>434</v>
      </c>
      <c r="C6" s="23" t="s">
        <v>440</v>
      </c>
      <c r="D6" s="23"/>
    </row>
    <row r="7" spans="1:4">
      <c r="A7" s="22" t="s">
        <v>433</v>
      </c>
      <c r="B7" s="17" t="s">
        <v>434</v>
      </c>
      <c r="C7" s="23" t="s">
        <v>441</v>
      </c>
      <c r="D7" s="23"/>
    </row>
    <row r="8" spans="1:4">
      <c r="A8" s="22" t="s">
        <v>433</v>
      </c>
      <c r="B8" s="17" t="s">
        <v>434</v>
      </c>
      <c r="C8" s="23" t="s">
        <v>442</v>
      </c>
      <c r="D8" s="23"/>
    </row>
    <row r="9" spans="1:4">
      <c r="A9" s="22" t="s">
        <v>433</v>
      </c>
      <c r="B9" s="17" t="s">
        <v>434</v>
      </c>
      <c r="C9" s="23" t="s">
        <v>443</v>
      </c>
      <c r="D9" s="23"/>
    </row>
    <row r="10" spans="1:4">
      <c r="A10" s="22" t="s">
        <v>433</v>
      </c>
      <c r="B10" s="17" t="s">
        <v>434</v>
      </c>
      <c r="C10" s="23" t="s">
        <v>444</v>
      </c>
      <c r="D10" s="23"/>
    </row>
    <row r="11" spans="1:4">
      <c r="A11" s="22" t="s">
        <v>433</v>
      </c>
      <c r="B11" s="17" t="s">
        <v>434</v>
      </c>
      <c r="C11" s="23" t="s">
        <v>445</v>
      </c>
      <c r="D11" s="23"/>
    </row>
    <row r="12" spans="1:4">
      <c r="A12" s="22" t="s">
        <v>433</v>
      </c>
      <c r="B12" s="17" t="s">
        <v>434</v>
      </c>
      <c r="C12" s="23" t="s">
        <v>446</v>
      </c>
      <c r="D12" s="23"/>
    </row>
    <row r="13" spans="1:4">
      <c r="A13" s="22" t="s">
        <v>433</v>
      </c>
      <c r="B13" s="17" t="s">
        <v>434</v>
      </c>
      <c r="C13" s="23" t="s">
        <v>447</v>
      </c>
      <c r="D13" s="23"/>
    </row>
    <row r="14" spans="1:4">
      <c r="A14" s="22" t="s">
        <v>433</v>
      </c>
      <c r="B14" s="17" t="s">
        <v>434</v>
      </c>
      <c r="C14" s="23" t="s">
        <v>419</v>
      </c>
      <c r="D14" s="23" t="s">
        <v>448</v>
      </c>
    </row>
    <row r="15" spans="1:4">
      <c r="A15" s="22" t="s">
        <v>433</v>
      </c>
      <c r="B15" s="17" t="s">
        <v>434</v>
      </c>
      <c r="C15" s="23" t="s">
        <v>420</v>
      </c>
      <c r="D15" s="23" t="s">
        <v>448</v>
      </c>
    </row>
    <row r="16" spans="1:4">
      <c r="A16" s="22" t="s">
        <v>433</v>
      </c>
      <c r="B16" s="17" t="s">
        <v>434</v>
      </c>
      <c r="C16" s="23" t="s">
        <v>421</v>
      </c>
      <c r="D16" s="23" t="s">
        <v>448</v>
      </c>
    </row>
    <row r="17" spans="1:4">
      <c r="A17" s="22" t="s">
        <v>433</v>
      </c>
      <c r="B17" s="17" t="s">
        <v>434</v>
      </c>
      <c r="C17" s="23" t="s">
        <v>422</v>
      </c>
      <c r="D17" s="23" t="s">
        <v>448</v>
      </c>
    </row>
    <row r="18" spans="1:4">
      <c r="A18" s="22" t="s">
        <v>433</v>
      </c>
      <c r="B18" s="17" t="s">
        <v>434</v>
      </c>
      <c r="C18" s="23" t="s">
        <v>423</v>
      </c>
      <c r="D18" s="23" t="s">
        <v>448</v>
      </c>
    </row>
    <row r="19" spans="1:4">
      <c r="A19" s="22" t="s">
        <v>433</v>
      </c>
      <c r="B19" s="17" t="s">
        <v>434</v>
      </c>
      <c r="C19" s="23" t="s">
        <v>424</v>
      </c>
      <c r="D19" s="23" t="s">
        <v>448</v>
      </c>
    </row>
    <row r="20" spans="1:4">
      <c r="A20" s="22" t="s">
        <v>433</v>
      </c>
      <c r="B20" s="17" t="s">
        <v>434</v>
      </c>
      <c r="C20" s="23" t="s">
        <v>425</v>
      </c>
      <c r="D20" s="23" t="s">
        <v>448</v>
      </c>
    </row>
    <row r="21" spans="1:4">
      <c r="A21" s="22" t="s">
        <v>433</v>
      </c>
      <c r="B21" s="17" t="s">
        <v>434</v>
      </c>
      <c r="C21" s="23" t="s">
        <v>426</v>
      </c>
      <c r="D21" s="23" t="s">
        <v>448</v>
      </c>
    </row>
    <row r="22" spans="1:4">
      <c r="A22" s="22" t="s">
        <v>433</v>
      </c>
      <c r="B22" s="17" t="s">
        <v>434</v>
      </c>
      <c r="C22" s="23" t="s">
        <v>427</v>
      </c>
      <c r="D22" s="23" t="s">
        <v>448</v>
      </c>
    </row>
    <row r="23" spans="1:4">
      <c r="A23" s="22" t="s">
        <v>433</v>
      </c>
      <c r="B23" s="17" t="s">
        <v>434</v>
      </c>
      <c r="C23" s="23" t="s">
        <v>428</v>
      </c>
      <c r="D23" s="23" t="s">
        <v>448</v>
      </c>
    </row>
    <row r="24" spans="1:4">
      <c r="A24" s="22" t="s">
        <v>449</v>
      </c>
      <c r="B24" s="17" t="s">
        <v>434</v>
      </c>
      <c r="C24" s="23" t="s">
        <v>450</v>
      </c>
      <c r="D24" s="23"/>
    </row>
    <row r="25" spans="1:4">
      <c r="A25" s="22" t="s">
        <v>449</v>
      </c>
      <c r="B25" s="17" t="s">
        <v>451</v>
      </c>
      <c r="C25" s="23" t="s">
        <v>452</v>
      </c>
      <c r="D25" s="23"/>
    </row>
    <row r="26" spans="1:4">
      <c r="A26" s="22" t="s">
        <v>453</v>
      </c>
      <c r="B26" s="17" t="s">
        <v>454</v>
      </c>
      <c r="C26" s="23" t="s">
        <v>455</v>
      </c>
      <c r="D26" s="23"/>
    </row>
    <row r="27" spans="1:4">
      <c r="A27" s="22" t="s">
        <v>456</v>
      </c>
      <c r="B27" s="17" t="s">
        <v>454</v>
      </c>
      <c r="C27" s="23" t="s">
        <v>457</v>
      </c>
      <c r="D27" s="23" t="s">
        <v>458</v>
      </c>
    </row>
    <row r="28" spans="1:4">
      <c r="A28" s="22" t="s">
        <v>456</v>
      </c>
      <c r="B28" s="17" t="s">
        <v>434</v>
      </c>
      <c r="C28" s="23" t="s">
        <v>459</v>
      </c>
      <c r="D28" s="23" t="s">
        <v>460</v>
      </c>
    </row>
    <row r="29" spans="1:4">
      <c r="A29" s="22" t="s">
        <v>461</v>
      </c>
      <c r="B29" s="17" t="s">
        <v>434</v>
      </c>
      <c r="C29" s="23" t="s">
        <v>462</v>
      </c>
      <c r="D29" s="23" t="s">
        <v>411</v>
      </c>
    </row>
    <row r="30" spans="1:4">
      <c r="A30" s="22" t="s">
        <v>461</v>
      </c>
      <c r="B30" s="17" t="s">
        <v>434</v>
      </c>
      <c r="C30" s="23" t="s">
        <v>463</v>
      </c>
      <c r="D30" s="23"/>
    </row>
    <row r="31" spans="1:4">
      <c r="A31" s="22" t="s">
        <v>464</v>
      </c>
      <c r="B31" s="17" t="s">
        <v>434</v>
      </c>
      <c r="C31" s="23" t="s">
        <v>465</v>
      </c>
      <c r="D31" s="23" t="s">
        <v>466</v>
      </c>
    </row>
    <row r="32" spans="1:4">
      <c r="A32" s="22" t="s">
        <v>464</v>
      </c>
      <c r="B32" s="17" t="s">
        <v>451</v>
      </c>
      <c r="C32" s="23" t="s">
        <v>467</v>
      </c>
      <c r="D32" s="23" t="s">
        <v>468</v>
      </c>
    </row>
    <row r="33" spans="1:4">
      <c r="A33" s="22" t="s">
        <v>469</v>
      </c>
      <c r="B33" s="17" t="s">
        <v>451</v>
      </c>
      <c r="C33" s="23" t="s">
        <v>470</v>
      </c>
      <c r="D33" s="23"/>
    </row>
    <row r="34" spans="1:4">
      <c r="A34" s="22" t="s">
        <v>469</v>
      </c>
      <c r="B34" s="17" t="s">
        <v>451</v>
      </c>
      <c r="C34" s="23" t="s">
        <v>471</v>
      </c>
      <c r="D34" s="23"/>
    </row>
    <row r="35" spans="1:4">
      <c r="A35" s="22" t="s">
        <v>469</v>
      </c>
      <c r="B35" s="17" t="s">
        <v>451</v>
      </c>
      <c r="C35" s="23" t="s">
        <v>472</v>
      </c>
      <c r="D35" s="23"/>
    </row>
    <row r="36" spans="1:4">
      <c r="A36" s="22" t="s">
        <v>469</v>
      </c>
      <c r="B36" s="17" t="s">
        <v>451</v>
      </c>
      <c r="C36" s="23" t="s">
        <v>473</v>
      </c>
      <c r="D36" s="23"/>
    </row>
    <row r="37" spans="1:4">
      <c r="A37" s="22" t="s">
        <v>474</v>
      </c>
      <c r="B37" s="17" t="s">
        <v>451</v>
      </c>
      <c r="C37" s="23" t="s">
        <v>475</v>
      </c>
      <c r="D37" s="23"/>
    </row>
    <row r="38" spans="1:4">
      <c r="A38" s="22" t="s">
        <v>474</v>
      </c>
      <c r="B38" s="17" t="s">
        <v>451</v>
      </c>
      <c r="C38" s="23" t="s">
        <v>476</v>
      </c>
      <c r="D38" s="23"/>
    </row>
    <row r="39" spans="1:4">
      <c r="A39" s="22" t="s">
        <v>474</v>
      </c>
      <c r="B39" s="17" t="s">
        <v>451</v>
      </c>
      <c r="C39" s="23" t="s">
        <v>477</v>
      </c>
      <c r="D39" s="23"/>
    </row>
    <row r="40" spans="1:4">
      <c r="A40" s="22" t="s">
        <v>474</v>
      </c>
      <c r="B40" s="17" t="s">
        <v>451</v>
      </c>
      <c r="C40" s="23" t="s">
        <v>478</v>
      </c>
      <c r="D40" s="23"/>
    </row>
    <row r="41" spans="1:4">
      <c r="A41" s="22" t="s">
        <v>474</v>
      </c>
      <c r="B41" s="17" t="s">
        <v>451</v>
      </c>
      <c r="C41" s="23" t="s">
        <v>479</v>
      </c>
      <c r="D41" s="23"/>
    </row>
    <row r="42" spans="1:4">
      <c r="A42" s="22" t="s">
        <v>474</v>
      </c>
      <c r="B42" s="17" t="s">
        <v>480</v>
      </c>
      <c r="C42" s="23" t="s">
        <v>481</v>
      </c>
      <c r="D42" s="23"/>
    </row>
    <row r="43" spans="1:4">
      <c r="A43" s="22" t="s">
        <v>474</v>
      </c>
      <c r="B43" s="17" t="s">
        <v>480</v>
      </c>
      <c r="C43" s="23" t="s">
        <v>482</v>
      </c>
      <c r="D43" s="23" t="s">
        <v>483</v>
      </c>
    </row>
    <row r="44" spans="1:4">
      <c r="A44" s="22" t="s">
        <v>484</v>
      </c>
      <c r="B44" s="17" t="s">
        <v>480</v>
      </c>
      <c r="C44" s="23" t="s">
        <v>485</v>
      </c>
      <c r="D44" s="23"/>
    </row>
  </sheetData>
  <autoFilter ref="A1:D4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Every discount level tested</vt:lpstr>
      <vt:lpstr>The decision in one line</vt:lpstr>
      <vt:lpstr>The range where the answer is t</vt:lpstr>
      <vt:lpstr>Recommended discount per deal (</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2026-09-22T01:56:14Z</dcterms:created>
  <dcterms:modified xsi:type="dcterms:W3CDTF">2026-09-22T01:56:14Z</dcterms:modified>
</cp:coreProperties>
</file>