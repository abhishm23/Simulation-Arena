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Your open deals, weighted the s" sheetId="8" r:id="rId8"/>
    <sheet name="Assumptions" sheetId="9" r:id="rId9"/>
    <sheet name="Run log" sheetId="10" r:id="rId10"/>
  </sheets>
  <definedNames>
    <definedName name="_xlnm._FilterDatabase" localSheetId="4" hidden="1">'Quarter by quarter where the de'!$A$4:$H$10</definedName>
    <definedName name="_xlnm._FilterDatabase" localSheetId="9" hidden="1">'Run log'!$A$1:$D$28</definedName>
    <definedName name="_xlnm._FilterDatabase" localSheetId="5" hidden="1">'The money, weighted by the odds'!$A$4:$G$10</definedName>
    <definedName name="_xlnm._FilterDatabase" localSheetId="6" hidden="1">'What sitting still costs you'!$A$4:$C$8</definedName>
    <definedName name="_xlnm._FilterDatabase" localSheetId="7" hidden="1">'Your open deals, weighted the s'!$A$4:$I$29</definedName>
  </definedNames>
  <calcPr calcId="124519" fullCalcOnLoad="1"/>
</workbook>
</file>

<file path=xl/sharedStrings.xml><?xml version="1.0" encoding="utf-8"?>
<sst xmlns="http://schemas.openxmlformats.org/spreadsheetml/2006/main" count="603" uniqueCount="317">
  <si>
    <t>Simulation Arena</t>
  </si>
  <si>
    <t>Deal Aging &amp; Multi-Quarter Sales Cycles: The Pipeline Hopper</t>
  </si>
  <si>
    <t>Sales says quarter 2; the odds from your history are &lt;0.0001% for closing then - &lt;0.0001% of the value slips past that date, and &gt;99.9% never closes at all. Plan on $0 of this $3.00M deal, not the full amount. That is after allowing for this deal having sat 110 quarters - a deal that had just arrived would be at 0.0015%.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</si>
  <si>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</si>
  <si>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</si>
  <si>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</si>
  <si>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</si>
  <si>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run_38fe802f7efa</t>
  </si>
  <si>
    <t>Generated</t>
  </si>
  <si>
    <t>22 Sep 2026 00:11</t>
  </si>
  <si>
    <t>Scenarios tested</t>
  </si>
  <si>
    <t>55,069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</si>
  <si>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</si>
  <si>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</si>
  <si>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</si>
  <si>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</si>
  <si>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</si>
  <si>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</si>
  <si>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</si>
  <si>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</si>
  <si>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</si>
  <si>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</si>
  <si>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&lt;0.0001%</t>
  </si>
  <si>
    <t>A slim chance the money actually lands in the quarter it was promised for.</t>
  </si>
  <si>
    <t>if we ignored how long it has been sitting: 0.0015%</t>
  </si>
  <si>
    <t>Chance it slips past that quarter</t>
  </si>
  <si>
    <t>The chance the deal does close, but later than the date sales promised.</t>
  </si>
  <si>
    <t>-</t>
  </si>
  <si>
    <t>Chance it dies instead</t>
  </si>
  <si>
    <t>&gt;99.9%</t>
  </si>
  <si>
    <t>The deal never closes - it stalls or the customer walks.</t>
  </si>
  <si>
    <t>&lt;0.0001% still stuck in Legal at the end of the horizon</t>
  </si>
  <si>
    <t>What you can bank on by Q2</t>
  </si>
  <si>
    <t>$0</t>
  </si>
  <si>
    <t>The deal value weighted by its real chance of arriving - 0.0% of $3.00M.</t>
  </si>
  <si>
    <t>Cash committed against odds</t>
  </si>
  <si>
    <t>$3.00M</t>
  </si>
  <si>
    <t>You are planning to spend $3.00M that has only a 0.0% chance of arriving.</t>
  </si>
  <si>
    <t>$3.00M promised vs $0 realistic</t>
  </si>
  <si>
    <t>Quarters until it really closes</t>
  </si>
  <si>
    <t>n/a</t>
  </si>
  <si>
    <t>On average, counted from today, for the deals that do close (3.4 quarters to a final yes or no).</t>
  </si>
  <si>
    <t>sales promised 2</t>
  </si>
  <si>
    <t>How long this deal has been sitting</t>
  </si>
  <si>
    <t>110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</si>
  <si>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</si>
  <si>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</si>
  <si>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</si>
  <si>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$0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</si>
  <si>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</si>
  <si>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</si>
  <si>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</si>
  <si>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</si>
  <si>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</si>
  <si>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</si>
  <si>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</si>
  <si>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0.0%, not 100%.</t>
  </si>
  <si>
    <t>2.</t>
  </si>
  <si>
    <t>0.0% of the value arrives later than promised. and &gt;99.9% never arrives at all.</t>
  </si>
  <si>
    <t>3.</t>
  </si>
  <si>
    <t>Planning on the full $3.00M commits $3.00M of cash against a 0.0% chance.</t>
  </si>
  <si>
    <t>4.</t>
  </si>
  <si>
    <t>The deal has been running 110 quarters; at that age a deal is judged 0.0% likely to close by Q2 if it were fresh, so sitting still is costing real odds.</t>
  </si>
  <si>
    <t>What to do</t>
  </si>
  <si>
    <t>Action 1</t>
  </si>
  <si>
    <t>Put $0 in the Q2 plan and treat the remaining $3.00M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</si>
  <si>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</si>
  <si>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</si>
  <si>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</si>
  <si>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</si>
  <si>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</si>
  <si>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</si>
  <si>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</si>
  <si>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</si>
  <si>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</si>
  <si>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</si>
  <si>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</si>
  <si>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</si>
  <si>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</si>
  <si>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</si>
  <si>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</si>
  <si>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</si>
  <si>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</si>
  <si>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</si>
  <si>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Business Case</t>
  </si>
  <si>
    <t>CF Approval</t>
  </si>
  <si>
    <t>Legal &amp; InfoSec</t>
  </si>
  <si>
    <t>Closed_Won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</si>
  <si>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</si>
  <si>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</si>
  <si>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</si>
  <si>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</si>
  <si>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</si>
  <si>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</si>
  <si>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</si>
  <si>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</si>
  <si>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</si>
  <si>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</si>
  <si>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</si>
  <si>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</si>
  <si>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Closed_Lost</t>
  </si>
  <si>
    <t>58.3%</t>
  </si>
  <si>
    <t>41.7%</t>
  </si>
  <si>
    <t>34.0%</t>
  </si>
  <si>
    <t>66.0%</t>
  </si>
  <si>
    <t>19.8%</t>
  </si>
  <si>
    <t>80.2%</t>
  </si>
  <si>
    <t>11.5%</t>
  </si>
  <si>
    <t>88.5%</t>
  </si>
  <si>
    <t>6.7%</t>
  </si>
  <si>
    <t>93.3%</t>
  </si>
  <si>
    <t>3.9%</t>
  </si>
  <si>
    <t>96.1%</t>
  </si>
  <si>
    <t>Read the 'Closed_Won'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</si>
  <si>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</si>
  <si>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</si>
  <si>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</si>
  <si>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</si>
  <si>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</si>
  <si>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</si>
  <si>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</si>
  <si>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</si>
  <si>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</si>
  <si>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</si>
  <si>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</si>
  <si>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</si>
  <si>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</si>
  <si>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</si>
  <si>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</si>
  <si>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0.35%</t>
  </si>
  <si>
    <t>79.7%</t>
  </si>
  <si>
    <t>Settled (2-4 quarters)</t>
  </si>
  <si>
    <t>0.19%</t>
  </si>
  <si>
    <t>93.7%</t>
  </si>
  <si>
    <t>Stale (over 4 quarters)</t>
  </si>
  <si>
    <t>100.0%</t>
  </si>
  <si>
    <t>This deal (110 quarters)</t>
  </si>
  <si>
    <t>The older a deal is, the lower it sits. The highlighted row is the age we used for the forecast above.</t>
  </si>
  <si>
    <t>Your open deals, weighted the same way (top 25)</t>
  </si>
  <si>
    <t>Every open deal on the board, priced by the odds of it actually closing - each one judged at its own age.</t>
  </si>
  <si>
    <t>Deal</t>
  </si>
  <si>
    <t>Stage now</t>
  </si>
  <si>
    <t>Closes next quarter</t>
  </si>
  <si>
    <t>Within 2 quarters</t>
  </si>
  <si>
    <t>Ever closes</t>
  </si>
  <si>
    <t>Expected quarter</t>
  </si>
  <si>
    <t>Value you can bank on</t>
  </si>
  <si>
    <t>Quarters sitting</t>
  </si>
  <si>
    <t>P-00009825</t>
  </si>
  <si>
    <t>$20.00M</t>
  </si>
  <si>
    <t>0.0%</t>
  </si>
  <si>
    <t>10</t>
  </si>
  <si>
    <t>P-00009673</t>
  </si>
  <si>
    <t>$17.09M</t>
  </si>
  <si>
    <t>0.041%</t>
  </si>
  <si>
    <t>0.087%</t>
  </si>
  <si>
    <t>7.0%</t>
  </si>
  <si>
    <t>10.9</t>
  </si>
  <si>
    <t>$1.20M</t>
  </si>
  <si>
    <t>2</t>
  </si>
  <si>
    <t>P-00012463</t>
  </si>
  <si>
    <t>$13.94M</t>
  </si>
  <si>
    <t>0.097%</t>
  </si>
  <si>
    <t>0.22%</t>
  </si>
  <si>
    <t>29.4%</t>
  </si>
  <si>
    <t>10.1</t>
  </si>
  <si>
    <t>$4.10M</t>
  </si>
  <si>
    <t>1</t>
  </si>
  <si>
    <t>P-00006325</t>
  </si>
  <si>
    <t>$12.44M</t>
  </si>
  <si>
    <t>0.11%</t>
  </si>
  <si>
    <t>6.3%</t>
  </si>
  <si>
    <t>11.9</t>
  </si>
  <si>
    <t>$780k</t>
  </si>
  <si>
    <t>3</t>
  </si>
  <si>
    <t>P-00016244</t>
  </si>
  <si>
    <t>$11.68M</t>
  </si>
  <si>
    <t>6</t>
  </si>
  <si>
    <t>P-00018202</t>
  </si>
  <si>
    <t>$11.44M</t>
  </si>
  <si>
    <t>11</t>
  </si>
  <si>
    <t>P-00003062</t>
  </si>
  <si>
    <t>$11.39M</t>
  </si>
  <si>
    <t>$797k</t>
  </si>
  <si>
    <t>P-00004183</t>
  </si>
  <si>
    <t>$10.20M</t>
  </si>
  <si>
    <t>0.002%</t>
  </si>
  <si>
    <t>0.0035%</t>
  </si>
  <si>
    <t>0.016%</t>
  </si>
  <si>
    <t>7.4</t>
  </si>
  <si>
    <t>$2k</t>
  </si>
  <si>
    <t>4</t>
  </si>
  <si>
    <t>P-00014843</t>
  </si>
  <si>
    <t>$9.61M</t>
  </si>
  <si>
    <t>5</t>
  </si>
  <si>
    <t>P-00019754</t>
  </si>
  <si>
    <t>$9.11M</t>
  </si>
  <si>
    <t>$571k</t>
  </si>
  <si>
    <t>P-00013360</t>
  </si>
  <si>
    <t>$8.98M</t>
  </si>
  <si>
    <t>20.3%</t>
  </si>
  <si>
    <t>11.7</t>
  </si>
  <si>
    <t>$1.82M</t>
  </si>
  <si>
    <t>P-00018775</t>
  </si>
  <si>
    <t>$8.78M</t>
  </si>
  <si>
    <t>0.079%</t>
  </si>
  <si>
    <t>0.17%</t>
  </si>
  <si>
    <t>23.7%</t>
  </si>
  <si>
    <t>11.2</t>
  </si>
  <si>
    <t>$2.08M</t>
  </si>
  <si>
    <t>P-00019159</t>
  </si>
  <si>
    <t>$8.42M</t>
  </si>
  <si>
    <t>0.0037%</t>
  </si>
  <si>
    <t>0.0066%</t>
  </si>
  <si>
    <t>0.048%</t>
  </si>
  <si>
    <t>$4k</t>
  </si>
  <si>
    <t>P-00000030</t>
  </si>
  <si>
    <t>$8.32M</t>
  </si>
  <si>
    <t>$1.97M</t>
  </si>
  <si>
    <t>P-00008074</t>
  </si>
  <si>
    <t>$8.31M</t>
  </si>
  <si>
    <t>$1.68M</t>
  </si>
  <si>
    <t>P-00006913</t>
  </si>
  <si>
    <t>$8.30M</t>
  </si>
  <si>
    <t>P-00006040</t>
  </si>
  <si>
    <t>$8.26M</t>
  </si>
  <si>
    <t>$518k</t>
  </si>
  <si>
    <t>P-00011138</t>
  </si>
  <si>
    <t>$8.25M</t>
  </si>
  <si>
    <t>0.059%</t>
  </si>
  <si>
    <t>0.13%</t>
  </si>
  <si>
    <t>9.0%</t>
  </si>
  <si>
    <t>9.2</t>
  </si>
  <si>
    <t>$742k</t>
  </si>
  <si>
    <t>P-00010498</t>
  </si>
  <si>
    <t>$8.09M</t>
  </si>
  <si>
    <t>P-00006169</t>
  </si>
  <si>
    <t>$7.87M</t>
  </si>
  <si>
    <t>$2.31M</t>
  </si>
  <si>
    <t>P-00007830</t>
  </si>
  <si>
    <t>$7.77M</t>
  </si>
  <si>
    <t>$488k</t>
  </si>
  <si>
    <t>P-00000905</t>
  </si>
  <si>
    <t>$7.70M</t>
  </si>
  <si>
    <t>$1.56M</t>
  </si>
  <si>
    <t>P-00009880</t>
  </si>
  <si>
    <t>$7.69M</t>
  </si>
  <si>
    <t>0.0011%</t>
  </si>
  <si>
    <t>0.0018%</t>
  </si>
  <si>
    <t>0.0033%</t>
  </si>
  <si>
    <t>3.0</t>
  </si>
  <si>
    <t>$251</t>
  </si>
  <si>
    <t>P-00000642</t>
  </si>
  <si>
    <t>$7.65M</t>
  </si>
  <si>
    <t>P-00008864</t>
  </si>
  <si>
    <t>$7.61M</t>
  </si>
  <si>
    <t>$1.80M</t>
  </si>
  <si>
    <t>Value you can bank on = deal value x its chance of ever closing.</t>
  </si>
  <si>
    <t>Assumptions and caveats</t>
  </si>
  <si>
    <t>Watch</t>
  </si>
  <si>
    <t>!</t>
  </si>
  <si>
    <t>Sales says Q2; the model says 0.0%. Committing the full $3.00M on that date is the single biggest risk in this plan.</t>
  </si>
  <si>
    <t>&gt;99.9% of deals at this stage never close at all - they are not 'slipping', they are gone. Treat that part of the pipeline as zero.</t>
  </si>
  <si>
    <t>This deal has been sitting 110 quarters - past the 4-quarter mark where we start treating a deal as stale. Its chance of closing is 0.0% rather than 0.0% for a fresh deal.</t>
  </si>
  <si>
    <t>Assumed</t>
  </si>
  <si>
    <t>Learned how deals hop between stages from 55,069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</si>
  <si>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</si>
  <si>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110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</si>
  <si>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</si>
  <si>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</si>
  <si>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</si>
  <si>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entered_quarter, days_in_stage.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</si>
  <si>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</si>
  <si>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</si>
  <si>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</si>
  <si>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</si>
  <si>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</si>
  <si>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</si>
  <si>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</si>
  <si>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your 'days_in_previous_stage'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</si>
  <si>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</si>
  <si>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</si>
  <si>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</si>
  <si>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</si>
  <si>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</si>
  <si>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</si>
  <si>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</si>
  <si>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</si>
  <si>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Found 75,069 rows and 16 columns.</t>
  </si>
  <si>
    <t>source: ab_uc5_age_x10.csv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</si>
  <si>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</si>
  <si>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</si>
  <si>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</si>
  <si>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</si>
  <si>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</si>
  <si>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</si>
  <si>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</si>
  <si>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You chose 'days_in_previous_stage' for 'How long it has been sitting (days)'.</t>
  </si>
  <si>
    <t>mapping used</t>
  </si>
  <si>
    <t>1.36s</t>
  </si>
  <si>
    <t>Read 75,069 records into the model.</t>
  </si>
  <si>
    <t>simulate</t>
  </si>
  <si>
    <t>Running the simulation…</t>
  </si>
  <si>
    <t>read</t>
  </si>
  <si>
    <t>Reading how your deals have moved through the pipeline...</t>
  </si>
  <si>
    <t>2.08s</t>
  </si>
  <si>
    <t>Laid the stages out in the order you gave us.</t>
  </si>
  <si>
    <t>Initial RFP -&gt; Technical Review -&gt; Business Case -&gt; CF Approval -&gt; Legal &amp; InfoSec -&gt; Closed_Won -&gt; Closed_Lost</t>
  </si>
  <si>
    <t>Learned the hop pattern from 55,069 real stage moves across 20,000 deals.</t>
  </si>
  <si>
    <t>7 stages, endings: ['Closed_Won', 'Closed_Lost']</t>
  </si>
  <si>
    <t>Deals that sit still get riskier: this one has been going 110 quarters, so we priced it against the stale-deal pattern.</t>
  </si>
  <si>
    <t>semi-Markov: age=110.3q, stale=4q, bucket=stale (50268 learned moves), boost cap=0.9</t>
  </si>
  <si>
    <t>Rolling the odds forward 6 quarters from 'Initial RFP'...</t>
  </si>
  <si>
    <t>summarize</t>
  </si>
  <si>
    <t>Sales says quarter 2. The odds from your history are 0.0% for closing in that quarter.</t>
  </si>
  <si>
    <t>2.38s</t>
  </si>
  <si>
    <t>Done. Plan on $0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</si>
</sst>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58.28</c:v>
                </c:pt>
                <c:pt idx="2">
                  <c:v>33.97</c:v>
                </c:pt>
                <c:pt idx="3">
                  <c:v>19.8</c:v>
                </c:pt>
                <c:pt idx="4">
                  <c:v>11.54</c:v>
                </c:pt>
                <c:pt idx="5">
                  <c:v>6.72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Business Case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Legal &amp; InfoSec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Closed_Won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22</v>
      </c>
      <c r="C18" s="11" t="s">
        <v>26</v>
      </c>
      <c r="D18" s="11" t="s">
        <v>27</v>
      </c>
    </row>
    <row r="19" spans="1:4">
      <c r="A19" s="9" t="s">
        <v>28</v>
      </c>
      <c r="B19" s="10" t="s">
        <v>29</v>
      </c>
      <c r="C19" s="9" t="s">
        <v>30</v>
      </c>
      <c r="D19" s="9" t="s">
        <v>31</v>
      </c>
    </row>
    <row r="20" spans="1:4">
      <c r="A20" s="11" t="s">
        <v>32</v>
      </c>
      <c r="B20" s="12" t="s">
        <v>33</v>
      </c>
      <c r="C20" s="11" t="s">
        <v>34</v>
      </c>
      <c r="D20" s="11" t="s">
        <v>27</v>
      </c>
    </row>
    <row r="21" spans="1:4">
      <c r="A21" s="9" t="s">
        <v>35</v>
      </c>
      <c r="B21" s="10" t="s">
        <v>36</v>
      </c>
      <c r="C21" s="9" t="s">
        <v>37</v>
      </c>
      <c r="D21" s="9" t="s">
        <v>38</v>
      </c>
    </row>
    <row r="22" spans="1:4">
      <c r="A22" s="13" t="s">
        <v>39</v>
      </c>
      <c r="B22" s="14" t="s">
        <v>40</v>
      </c>
      <c r="C22" s="13" t="s">
        <v>41</v>
      </c>
      <c r="D22" s="13" t="s">
        <v>42</v>
      </c>
    </row>
    <row r="23" spans="1:4">
      <c r="A23" s="13" t="s">
        <v>43</v>
      </c>
      <c r="B23" s="14" t="s">
        <v>44</v>
      </c>
      <c r="C23" s="13" t="s">
        <v>45</v>
      </c>
      <c r="D23" s="13" t="s">
        <v>46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47</v>
      </c>
    </row>
    <row r="2" spans="1:2" ht="34" customHeight="1">
      <c r="A2" s="5" t="s">
        <v>48</v>
      </c>
      <c r="B2" s="5"/>
    </row>
    <row r="4" spans="1:2">
      <c r="A4" s="6" t="s">
        <v>49</v>
      </c>
      <c r="B4" s="3" t="s">
        <v>50</v>
      </c>
    </row>
    <row r="5" spans="1:2">
      <c r="A5" s="6" t="s">
        <v>51</v>
      </c>
      <c r="B5" s="3" t="s">
        <v>52</v>
      </c>
    </row>
    <row r="6" spans="1:2">
      <c r="A6" s="6" t="s">
        <v>53</v>
      </c>
      <c r="B6" s="3" t="s">
        <v>50</v>
      </c>
    </row>
    <row r="8" spans="1:2">
      <c r="A8" s="4" t="s">
        <v>54</v>
      </c>
    </row>
    <row r="9" spans="1:2">
      <c r="A9" s="6" t="s">
        <v>55</v>
      </c>
      <c r="B9" s="3" t="s">
        <v>56</v>
      </c>
    </row>
    <row r="10" spans="1:2">
      <c r="A10" s="6" t="s">
        <v>57</v>
      </c>
      <c r="B10" s="3" t="s">
        <v>58</v>
      </c>
    </row>
    <row r="11" spans="1:2">
      <c r="A11" s="6" t="s">
        <v>59</v>
      </c>
      <c r="B11" s="3" t="s">
        <v>60</v>
      </c>
    </row>
    <row r="12" spans="1:2">
      <c r="A12" s="6" t="s">
        <v>61</v>
      </c>
      <c r="B12" s="3" t="s">
        <v>62</v>
      </c>
    </row>
    <row r="14" spans="1:2">
      <c r="A14" s="4" t="s">
        <v>63</v>
      </c>
    </row>
    <row r="15" spans="1:2">
      <c r="A15" s="6" t="s">
        <v>64</v>
      </c>
      <c r="B15" s="3" t="s">
        <v>65</v>
      </c>
    </row>
    <row r="16" spans="1:2">
      <c r="A16" s="6" t="s">
        <v>66</v>
      </c>
      <c r="B16" s="3" t="s">
        <v>67</v>
      </c>
    </row>
    <row r="17" spans="1:2">
      <c r="A17" s="6" t="s">
        <v>68</v>
      </c>
      <c r="B17" s="3" t="s">
        <v>69</v>
      </c>
    </row>
    <row r="18" spans="1:2">
      <c r="A18" s="6" t="s">
        <v>70</v>
      </c>
      <c r="B18" s="3" t="s">
        <v>71</v>
      </c>
    </row>
    <row r="20" spans="1:2">
      <c r="A20" s="4" t="s">
        <v>72</v>
      </c>
    </row>
    <row r="21" spans="1:2">
      <c r="A21" s="6"/>
      <c r="B21" s="3" t="s">
        <v>73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75</v>
      </c>
      <c r="B1" s="8" t="s">
        <v>82</v>
      </c>
      <c r="C1" s="8" t="s">
        <v>83</v>
      </c>
      <c r="D1" s="8" t="s">
        <v>84</v>
      </c>
      <c r="E1" s="8" t="s">
        <v>85</v>
      </c>
      <c r="F1" s="8" t="s">
        <v>86</v>
      </c>
      <c r="G1" s="8" t="s">
        <v>87</v>
      </c>
      <c r="I1" s="8" t="s">
        <v>89</v>
      </c>
      <c r="J1" s="8" t="s">
        <v>90</v>
      </c>
      <c r="K1" s="8" t="s">
        <v>91</v>
      </c>
      <c r="M1" s="8" t="s">
        <v>93</v>
      </c>
      <c r="N1" s="8" t="s">
        <v>94</v>
      </c>
      <c r="O1" s="8" t="s">
        <v>95</v>
      </c>
    </row>
    <row r="2" spans="1:15">
      <c r="A2" s="15" t="s">
        <v>76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76</v>
      </c>
      <c r="J2" s="15">
        <v>0</v>
      </c>
      <c r="K2" s="15">
        <v>0</v>
      </c>
      <c r="M2" s="15" t="s">
        <v>76</v>
      </c>
      <c r="N2" s="15">
        <v>0</v>
      </c>
      <c r="O2" s="15">
        <v>3</v>
      </c>
    </row>
    <row r="3" spans="1:15">
      <c r="A3" s="15" t="s">
        <v>77</v>
      </c>
      <c r="B3" s="15">
        <v>58.28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I3" s="15" t="s">
        <v>77</v>
      </c>
      <c r="J3" s="15">
        <v>0</v>
      </c>
      <c r="K3" s="15">
        <v>0</v>
      </c>
      <c r="M3" s="15" t="s">
        <v>77</v>
      </c>
      <c r="N3" s="15">
        <v>0</v>
      </c>
      <c r="O3" s="15">
        <v>3</v>
      </c>
    </row>
    <row r="4" spans="1:15">
      <c r="A4" s="15" t="s">
        <v>78</v>
      </c>
      <c r="B4" s="15">
        <v>33.97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I4" s="15" t="s">
        <v>78</v>
      </c>
      <c r="J4" s="15">
        <v>0</v>
      </c>
      <c r="K4" s="15">
        <v>0</v>
      </c>
      <c r="M4" s="15" t="s">
        <v>78</v>
      </c>
      <c r="N4" s="15">
        <v>0</v>
      </c>
      <c r="O4" s="15">
        <v>3</v>
      </c>
    </row>
    <row r="5" spans="1:15">
      <c r="A5" s="15" t="s">
        <v>79</v>
      </c>
      <c r="B5" s="15">
        <v>19.8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I5" s="15" t="s">
        <v>79</v>
      </c>
      <c r="J5" s="15">
        <v>0</v>
      </c>
      <c r="K5" s="15">
        <v>0</v>
      </c>
      <c r="M5" s="15" t="s">
        <v>79</v>
      </c>
      <c r="N5" s="15">
        <v>0</v>
      </c>
      <c r="O5" s="15">
        <v>3</v>
      </c>
    </row>
    <row r="6" spans="1:15">
      <c r="A6" s="15" t="s">
        <v>80</v>
      </c>
      <c r="B6" s="15">
        <v>11.54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I6" s="15" t="s">
        <v>80</v>
      </c>
      <c r="J6" s="15">
        <v>0</v>
      </c>
      <c r="K6" s="15">
        <v>0</v>
      </c>
      <c r="M6" s="15" t="s">
        <v>80</v>
      </c>
      <c r="N6" s="15">
        <v>0</v>
      </c>
      <c r="O6" s="15">
        <v>3</v>
      </c>
    </row>
    <row r="7" spans="1:15">
      <c r="A7" s="15" t="s">
        <v>81</v>
      </c>
      <c r="B7" s="15">
        <v>6.72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I7" s="15" t="s">
        <v>81</v>
      </c>
      <c r="J7" s="15">
        <v>0</v>
      </c>
      <c r="K7" s="15">
        <v>0</v>
      </c>
      <c r="M7" s="15" t="s">
        <v>81</v>
      </c>
      <c r="N7" s="15">
        <v>0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74</v>
      </c>
    </row>
    <row r="3" spans="2:2">
      <c r="B3" t="s">
        <v>75</v>
      </c>
    </row>
    <row r="4" spans="2:2">
      <c r="B4" s="17" t="s">
        <v>88</v>
      </c>
    </row>
    <row r="25" spans="2:2">
      <c r="B25" t="s">
        <v>89</v>
      </c>
    </row>
    <row r="26" spans="2:2">
      <c r="B26" s="17" t="s">
        <v>92</v>
      </c>
    </row>
    <row r="47" spans="2:2">
      <c r="B47" t="s">
        <v>93</v>
      </c>
    </row>
    <row r="48" spans="2:2">
      <c r="B48" s="17" t="s">
        <v>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6.7109375" customWidth="1"/>
    <col min="5" max="5" width="14.7109375" customWidth="1"/>
    <col min="6" max="6" width="18.7109375" customWidth="1"/>
    <col min="7" max="7" width="13.7109375" customWidth="1"/>
    <col min="8" max="8" width="14.7109375" customWidth="1"/>
  </cols>
  <sheetData>
    <row r="1" spans="1:8">
      <c r="A1" s="4" t="s">
        <v>97</v>
      </c>
    </row>
    <row r="2" spans="1:8">
      <c r="A2" s="18" t="s">
        <v>98</v>
      </c>
    </row>
    <row r="4" spans="1:8" ht="24" customHeight="1">
      <c r="A4" s="8" t="s">
        <v>99</v>
      </c>
      <c r="B4" s="8" t="s">
        <v>82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87</v>
      </c>
      <c r="H4" s="8" t="s">
        <v>100</v>
      </c>
    </row>
    <row r="5" spans="1:8">
      <c r="A5" s="15" t="s">
        <v>76</v>
      </c>
      <c r="B5" s="15" t="s">
        <v>101</v>
      </c>
      <c r="C5" s="15" t="s">
        <v>22</v>
      </c>
      <c r="D5" s="15" t="s">
        <v>22</v>
      </c>
      <c r="E5" s="15" t="s">
        <v>22</v>
      </c>
      <c r="F5" s="15" t="s">
        <v>22</v>
      </c>
      <c r="G5" s="15" t="s">
        <v>22</v>
      </c>
      <c r="H5" s="15" t="s">
        <v>102</v>
      </c>
    </row>
    <row r="6" spans="1:8">
      <c r="A6" s="15" t="s">
        <v>77</v>
      </c>
      <c r="B6" s="15" t="s">
        <v>103</v>
      </c>
      <c r="C6" s="15" t="s">
        <v>22</v>
      </c>
      <c r="D6" s="15" t="s">
        <v>22</v>
      </c>
      <c r="E6" s="15" t="s">
        <v>22</v>
      </c>
      <c r="F6" s="15" t="s">
        <v>22</v>
      </c>
      <c r="G6" s="15" t="s">
        <v>22</v>
      </c>
      <c r="H6" s="15" t="s">
        <v>104</v>
      </c>
    </row>
    <row r="7" spans="1:8">
      <c r="A7" s="15" t="s">
        <v>78</v>
      </c>
      <c r="B7" s="15" t="s">
        <v>105</v>
      </c>
      <c r="C7" s="15" t="s">
        <v>22</v>
      </c>
      <c r="D7" s="15" t="s">
        <v>22</v>
      </c>
      <c r="E7" s="15" t="s">
        <v>22</v>
      </c>
      <c r="F7" s="15" t="s">
        <v>22</v>
      </c>
      <c r="G7" s="15" t="s">
        <v>22</v>
      </c>
      <c r="H7" s="15" t="s">
        <v>106</v>
      </c>
    </row>
    <row r="8" spans="1:8">
      <c r="A8" s="15" t="s">
        <v>79</v>
      </c>
      <c r="B8" s="15" t="s">
        <v>107</v>
      </c>
      <c r="C8" s="15" t="s">
        <v>22</v>
      </c>
      <c r="D8" s="15" t="s">
        <v>22</v>
      </c>
      <c r="E8" s="15" t="s">
        <v>22</v>
      </c>
      <c r="F8" s="15" t="s">
        <v>22</v>
      </c>
      <c r="G8" s="15" t="s">
        <v>22</v>
      </c>
      <c r="H8" s="15" t="s">
        <v>108</v>
      </c>
    </row>
    <row r="9" spans="1:8">
      <c r="A9" s="15" t="s">
        <v>80</v>
      </c>
      <c r="B9" s="15" t="s">
        <v>109</v>
      </c>
      <c r="C9" s="15" t="s">
        <v>22</v>
      </c>
      <c r="D9" s="15" t="s">
        <v>22</v>
      </c>
      <c r="E9" s="15" t="s">
        <v>22</v>
      </c>
      <c r="F9" s="15" t="s">
        <v>22</v>
      </c>
      <c r="G9" s="15" t="s">
        <v>22</v>
      </c>
      <c r="H9" s="15" t="s">
        <v>110</v>
      </c>
    </row>
    <row r="10" spans="1:8">
      <c r="A10" s="15" t="s">
        <v>81</v>
      </c>
      <c r="B10" s="15" t="s">
        <v>111</v>
      </c>
      <c r="C10" s="15" t="s">
        <v>22</v>
      </c>
      <c r="D10" s="15" t="s">
        <v>22</v>
      </c>
      <c r="E10" s="15" t="s">
        <v>22</v>
      </c>
      <c r="F10" s="15" t="s">
        <v>22</v>
      </c>
      <c r="G10" s="15" t="s">
        <v>22</v>
      </c>
      <c r="H10" s="15" t="s">
        <v>112</v>
      </c>
    </row>
    <row r="12" spans="1:8">
      <c r="A12" s="18" t="s">
        <v>113</v>
      </c>
    </row>
  </sheetData>
  <autoFilter ref="A4:H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114</v>
      </c>
    </row>
    <row r="2" spans="1:7">
      <c r="A2" s="18" t="s">
        <v>115</v>
      </c>
    </row>
    <row r="4" spans="1:7" ht="24" customHeight="1">
      <c r="A4" s="8" t="s">
        <v>99</v>
      </c>
      <c r="B4" s="8" t="s">
        <v>116</v>
      </c>
      <c r="C4" s="8" t="s">
        <v>117</v>
      </c>
      <c r="D4" s="8" t="s">
        <v>118</v>
      </c>
      <c r="E4" s="8" t="s">
        <v>119</v>
      </c>
      <c r="F4" s="8" t="s">
        <v>120</v>
      </c>
      <c r="G4" s="8" t="s">
        <v>121</v>
      </c>
    </row>
    <row r="5" spans="1:7">
      <c r="A5" s="15" t="s">
        <v>76</v>
      </c>
      <c r="B5" s="15" t="s">
        <v>22</v>
      </c>
      <c r="C5" s="15" t="s">
        <v>33</v>
      </c>
      <c r="D5" s="15" t="s">
        <v>33</v>
      </c>
      <c r="E5" s="15" t="s">
        <v>22</v>
      </c>
      <c r="F5" s="15" t="s">
        <v>102</v>
      </c>
      <c r="G5" s="15" t="s">
        <v>36</v>
      </c>
    </row>
    <row r="6" spans="1:7">
      <c r="A6" s="19" t="s">
        <v>77</v>
      </c>
      <c r="B6" s="19" t="s">
        <v>22</v>
      </c>
      <c r="C6" s="19" t="s">
        <v>33</v>
      </c>
      <c r="D6" s="19" t="s">
        <v>33</v>
      </c>
      <c r="E6" s="19" t="s">
        <v>22</v>
      </c>
      <c r="F6" s="19" t="s">
        <v>104</v>
      </c>
      <c r="G6" s="19" t="s">
        <v>36</v>
      </c>
    </row>
    <row r="7" spans="1:7">
      <c r="A7" s="15" t="s">
        <v>78</v>
      </c>
      <c r="B7" s="15" t="s">
        <v>22</v>
      </c>
      <c r="C7" s="15" t="s">
        <v>33</v>
      </c>
      <c r="D7" s="15" t="s">
        <v>33</v>
      </c>
      <c r="E7" s="15" t="s">
        <v>22</v>
      </c>
      <c r="F7" s="15" t="s">
        <v>106</v>
      </c>
      <c r="G7" s="15" t="s">
        <v>36</v>
      </c>
    </row>
    <row r="8" spans="1:7">
      <c r="A8" s="15" t="s">
        <v>79</v>
      </c>
      <c r="B8" s="15" t="s">
        <v>22</v>
      </c>
      <c r="C8" s="15" t="s">
        <v>33</v>
      </c>
      <c r="D8" s="15" t="s">
        <v>33</v>
      </c>
      <c r="E8" s="15" t="s">
        <v>22</v>
      </c>
      <c r="F8" s="15" t="s">
        <v>108</v>
      </c>
      <c r="G8" s="15" t="s">
        <v>36</v>
      </c>
    </row>
    <row r="9" spans="1:7">
      <c r="A9" s="15" t="s">
        <v>80</v>
      </c>
      <c r="B9" s="15" t="s">
        <v>22</v>
      </c>
      <c r="C9" s="15" t="s">
        <v>33</v>
      </c>
      <c r="D9" s="15" t="s">
        <v>33</v>
      </c>
      <c r="E9" s="15" t="s">
        <v>22</v>
      </c>
      <c r="F9" s="15" t="s">
        <v>110</v>
      </c>
      <c r="G9" s="15" t="s">
        <v>36</v>
      </c>
    </row>
    <row r="10" spans="1:7">
      <c r="A10" s="15" t="s">
        <v>81</v>
      </c>
      <c r="B10" s="15" t="s">
        <v>22</v>
      </c>
      <c r="C10" s="15" t="s">
        <v>33</v>
      </c>
      <c r="D10" s="15" t="s">
        <v>33</v>
      </c>
      <c r="E10" s="15" t="s">
        <v>22</v>
      </c>
      <c r="F10" s="15" t="s">
        <v>112</v>
      </c>
      <c r="G10" s="15" t="s">
        <v>36</v>
      </c>
    </row>
    <row r="12" spans="1:7">
      <c r="A12" s="18" t="s">
        <v>122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123</v>
      </c>
    </row>
    <row r="2" spans="1:3">
      <c r="A2" s="18" t="s">
        <v>124</v>
      </c>
    </row>
    <row r="4" spans="1:3" ht="24" customHeight="1">
      <c r="A4" s="8" t="s">
        <v>125</v>
      </c>
      <c r="B4" s="8" t="s">
        <v>126</v>
      </c>
      <c r="C4" s="8" t="s">
        <v>127</v>
      </c>
    </row>
    <row r="5" spans="1:3">
      <c r="A5" s="15" t="s">
        <v>128</v>
      </c>
      <c r="B5" s="15" t="s">
        <v>129</v>
      </c>
      <c r="C5" s="15" t="s">
        <v>130</v>
      </c>
    </row>
    <row r="6" spans="1:3">
      <c r="A6" s="15" t="s">
        <v>131</v>
      </c>
      <c r="B6" s="15" t="s">
        <v>132</v>
      </c>
      <c r="C6" s="15" t="s">
        <v>133</v>
      </c>
    </row>
    <row r="7" spans="1:3">
      <c r="A7" s="15" t="s">
        <v>134</v>
      </c>
      <c r="B7" s="15" t="s">
        <v>22</v>
      </c>
      <c r="C7" s="15" t="s">
        <v>135</v>
      </c>
    </row>
    <row r="8" spans="1:3">
      <c r="A8" s="19" t="s">
        <v>136</v>
      </c>
      <c r="B8" s="19" t="s">
        <v>22</v>
      </c>
      <c r="C8" s="19" t="s">
        <v>135</v>
      </c>
    </row>
    <row r="10" spans="1:3">
      <c r="A10" s="18" t="s">
        <v>137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1.7109375" customWidth="1"/>
    <col min="4" max="4" width="22.7109375" customWidth="1"/>
    <col min="5" max="5" width="20.7109375" customWidth="1"/>
    <col min="6" max="6" width="14.7109375" customWidth="1"/>
    <col min="7" max="7" width="19.7109375" customWidth="1"/>
    <col min="8" max="8" width="24.7109375" customWidth="1"/>
    <col min="9" max="9" width="19.7109375" customWidth="1"/>
  </cols>
  <sheetData>
    <row r="1" spans="1:9">
      <c r="A1" s="4" t="s">
        <v>138</v>
      </c>
    </row>
    <row r="2" spans="1:9">
      <c r="A2" s="18" t="s">
        <v>139</v>
      </c>
    </row>
    <row r="4" spans="1:9" ht="24" customHeight="1">
      <c r="A4" s="8" t="s">
        <v>140</v>
      </c>
      <c r="B4" s="8" t="s">
        <v>141</v>
      </c>
      <c r="C4" s="8" t="s">
        <v>18</v>
      </c>
      <c r="D4" s="8" t="s">
        <v>142</v>
      </c>
      <c r="E4" s="8" t="s">
        <v>143</v>
      </c>
      <c r="F4" s="8" t="s">
        <v>144</v>
      </c>
      <c r="G4" s="8" t="s">
        <v>145</v>
      </c>
      <c r="H4" s="8" t="s">
        <v>146</v>
      </c>
      <c r="I4" s="8" t="s">
        <v>147</v>
      </c>
    </row>
    <row r="5" spans="1:9">
      <c r="A5" s="15" t="s">
        <v>148</v>
      </c>
      <c r="B5" s="15" t="s">
        <v>83</v>
      </c>
      <c r="C5" s="15" t="s">
        <v>149</v>
      </c>
      <c r="D5" s="15" t="s">
        <v>150</v>
      </c>
      <c r="E5" s="15" t="s">
        <v>150</v>
      </c>
      <c r="F5" s="15" t="s">
        <v>150</v>
      </c>
      <c r="G5" s="15" t="s">
        <v>40</v>
      </c>
      <c r="H5" s="15" t="s">
        <v>33</v>
      </c>
      <c r="I5" s="15" t="s">
        <v>151</v>
      </c>
    </row>
    <row r="6" spans="1:9">
      <c r="A6" s="15" t="s">
        <v>152</v>
      </c>
      <c r="B6" s="15" t="s">
        <v>83</v>
      </c>
      <c r="C6" s="15" t="s">
        <v>153</v>
      </c>
      <c r="D6" s="15" t="s">
        <v>154</v>
      </c>
      <c r="E6" s="15" t="s">
        <v>155</v>
      </c>
      <c r="F6" s="15" t="s">
        <v>156</v>
      </c>
      <c r="G6" s="15" t="s">
        <v>157</v>
      </c>
      <c r="H6" s="15" t="s">
        <v>158</v>
      </c>
      <c r="I6" s="15" t="s">
        <v>159</v>
      </c>
    </row>
    <row r="7" spans="1:9">
      <c r="A7" s="15" t="s">
        <v>160</v>
      </c>
      <c r="B7" s="15" t="s">
        <v>84</v>
      </c>
      <c r="C7" s="15" t="s">
        <v>161</v>
      </c>
      <c r="D7" s="15" t="s">
        <v>162</v>
      </c>
      <c r="E7" s="15" t="s">
        <v>163</v>
      </c>
      <c r="F7" s="15" t="s">
        <v>164</v>
      </c>
      <c r="G7" s="15" t="s">
        <v>165</v>
      </c>
      <c r="H7" s="15" t="s">
        <v>166</v>
      </c>
      <c r="I7" s="15" t="s">
        <v>167</v>
      </c>
    </row>
    <row r="8" spans="1:9">
      <c r="A8" s="15" t="s">
        <v>168</v>
      </c>
      <c r="B8" s="15" t="s">
        <v>82</v>
      </c>
      <c r="C8" s="15" t="s">
        <v>169</v>
      </c>
      <c r="D8" s="15" t="s">
        <v>170</v>
      </c>
      <c r="E8" s="15" t="s">
        <v>132</v>
      </c>
      <c r="F8" s="15" t="s">
        <v>171</v>
      </c>
      <c r="G8" s="15" t="s">
        <v>172</v>
      </c>
      <c r="H8" s="15" t="s">
        <v>173</v>
      </c>
      <c r="I8" s="15" t="s">
        <v>174</v>
      </c>
    </row>
    <row r="9" spans="1:9">
      <c r="A9" s="15" t="s">
        <v>175</v>
      </c>
      <c r="B9" s="15" t="s">
        <v>85</v>
      </c>
      <c r="C9" s="15" t="s">
        <v>176</v>
      </c>
      <c r="D9" s="15" t="s">
        <v>150</v>
      </c>
      <c r="E9" s="15" t="s">
        <v>150</v>
      </c>
      <c r="F9" s="15" t="s">
        <v>150</v>
      </c>
      <c r="G9" s="15" t="s">
        <v>40</v>
      </c>
      <c r="H9" s="15" t="s">
        <v>33</v>
      </c>
      <c r="I9" s="15" t="s">
        <v>177</v>
      </c>
    </row>
    <row r="10" spans="1:9">
      <c r="A10" s="15" t="s">
        <v>178</v>
      </c>
      <c r="B10" s="15" t="s">
        <v>85</v>
      </c>
      <c r="C10" s="15" t="s">
        <v>179</v>
      </c>
      <c r="D10" s="15" t="s">
        <v>150</v>
      </c>
      <c r="E10" s="15" t="s">
        <v>150</v>
      </c>
      <c r="F10" s="15" t="s">
        <v>150</v>
      </c>
      <c r="G10" s="15" t="s">
        <v>40</v>
      </c>
      <c r="H10" s="15" t="s">
        <v>33</v>
      </c>
      <c r="I10" s="15" t="s">
        <v>180</v>
      </c>
    </row>
    <row r="11" spans="1:9">
      <c r="A11" s="15" t="s">
        <v>181</v>
      </c>
      <c r="B11" s="15" t="s">
        <v>83</v>
      </c>
      <c r="C11" s="15" t="s">
        <v>182</v>
      </c>
      <c r="D11" s="15" t="s">
        <v>154</v>
      </c>
      <c r="E11" s="15" t="s">
        <v>155</v>
      </c>
      <c r="F11" s="15" t="s">
        <v>156</v>
      </c>
      <c r="G11" s="15" t="s">
        <v>157</v>
      </c>
      <c r="H11" s="15" t="s">
        <v>183</v>
      </c>
      <c r="I11" s="15" t="s">
        <v>174</v>
      </c>
    </row>
    <row r="12" spans="1:9">
      <c r="A12" s="15" t="s">
        <v>184</v>
      </c>
      <c r="B12" s="15" t="s">
        <v>82</v>
      </c>
      <c r="C12" s="15" t="s">
        <v>185</v>
      </c>
      <c r="D12" s="15" t="s">
        <v>186</v>
      </c>
      <c r="E12" s="15" t="s">
        <v>187</v>
      </c>
      <c r="F12" s="15" t="s">
        <v>188</v>
      </c>
      <c r="G12" s="15" t="s">
        <v>189</v>
      </c>
      <c r="H12" s="15" t="s">
        <v>190</v>
      </c>
      <c r="I12" s="15" t="s">
        <v>191</v>
      </c>
    </row>
    <row r="13" spans="1:9">
      <c r="A13" s="15" t="s">
        <v>192</v>
      </c>
      <c r="B13" s="15" t="s">
        <v>85</v>
      </c>
      <c r="C13" s="15" t="s">
        <v>193</v>
      </c>
      <c r="D13" s="15" t="s">
        <v>150</v>
      </c>
      <c r="E13" s="15" t="s">
        <v>150</v>
      </c>
      <c r="F13" s="15" t="s">
        <v>150</v>
      </c>
      <c r="G13" s="15" t="s">
        <v>40</v>
      </c>
      <c r="H13" s="15" t="s">
        <v>33</v>
      </c>
      <c r="I13" s="15" t="s">
        <v>194</v>
      </c>
    </row>
    <row r="14" spans="1:9">
      <c r="A14" s="15" t="s">
        <v>195</v>
      </c>
      <c r="B14" s="15" t="s">
        <v>82</v>
      </c>
      <c r="C14" s="15" t="s">
        <v>196</v>
      </c>
      <c r="D14" s="15" t="s">
        <v>170</v>
      </c>
      <c r="E14" s="15" t="s">
        <v>132</v>
      </c>
      <c r="F14" s="15" t="s">
        <v>171</v>
      </c>
      <c r="G14" s="15" t="s">
        <v>172</v>
      </c>
      <c r="H14" s="15" t="s">
        <v>197</v>
      </c>
      <c r="I14" s="15" t="s">
        <v>159</v>
      </c>
    </row>
    <row r="15" spans="1:9">
      <c r="A15" s="15" t="s">
        <v>198</v>
      </c>
      <c r="B15" s="15" t="s">
        <v>82</v>
      </c>
      <c r="C15" s="15" t="s">
        <v>199</v>
      </c>
      <c r="D15" s="15" t="s">
        <v>132</v>
      </c>
      <c r="E15" s="15" t="s">
        <v>129</v>
      </c>
      <c r="F15" s="15" t="s">
        <v>200</v>
      </c>
      <c r="G15" s="15" t="s">
        <v>201</v>
      </c>
      <c r="H15" s="15" t="s">
        <v>202</v>
      </c>
      <c r="I15" s="15" t="s">
        <v>167</v>
      </c>
    </row>
    <row r="16" spans="1:9">
      <c r="A16" s="15" t="s">
        <v>203</v>
      </c>
      <c r="B16" s="15" t="s">
        <v>83</v>
      </c>
      <c r="C16" s="15" t="s">
        <v>204</v>
      </c>
      <c r="D16" s="15" t="s">
        <v>205</v>
      </c>
      <c r="E16" s="15" t="s">
        <v>206</v>
      </c>
      <c r="F16" s="15" t="s">
        <v>207</v>
      </c>
      <c r="G16" s="15" t="s">
        <v>208</v>
      </c>
      <c r="H16" s="15" t="s">
        <v>209</v>
      </c>
      <c r="I16" s="15" t="s">
        <v>167</v>
      </c>
    </row>
    <row r="17" spans="1:9">
      <c r="A17" s="15" t="s">
        <v>210</v>
      </c>
      <c r="B17" s="15" t="s">
        <v>83</v>
      </c>
      <c r="C17" s="15" t="s">
        <v>211</v>
      </c>
      <c r="D17" s="15" t="s">
        <v>212</v>
      </c>
      <c r="E17" s="15" t="s">
        <v>213</v>
      </c>
      <c r="F17" s="15" t="s">
        <v>214</v>
      </c>
      <c r="G17" s="15" t="s">
        <v>189</v>
      </c>
      <c r="H17" s="15" t="s">
        <v>215</v>
      </c>
      <c r="I17" s="15" t="s">
        <v>191</v>
      </c>
    </row>
    <row r="18" spans="1:9">
      <c r="A18" s="15" t="s">
        <v>216</v>
      </c>
      <c r="B18" s="15" t="s">
        <v>83</v>
      </c>
      <c r="C18" s="15" t="s">
        <v>217</v>
      </c>
      <c r="D18" s="15" t="s">
        <v>205</v>
      </c>
      <c r="E18" s="15" t="s">
        <v>206</v>
      </c>
      <c r="F18" s="15" t="s">
        <v>207</v>
      </c>
      <c r="G18" s="15" t="s">
        <v>208</v>
      </c>
      <c r="H18" s="15" t="s">
        <v>218</v>
      </c>
      <c r="I18" s="15" t="s">
        <v>167</v>
      </c>
    </row>
    <row r="19" spans="1:9">
      <c r="A19" s="15" t="s">
        <v>219</v>
      </c>
      <c r="B19" s="15" t="s">
        <v>82</v>
      </c>
      <c r="C19" s="15" t="s">
        <v>220</v>
      </c>
      <c r="D19" s="15" t="s">
        <v>132</v>
      </c>
      <c r="E19" s="15" t="s">
        <v>129</v>
      </c>
      <c r="F19" s="15" t="s">
        <v>200</v>
      </c>
      <c r="G19" s="15" t="s">
        <v>201</v>
      </c>
      <c r="H19" s="15" t="s">
        <v>221</v>
      </c>
      <c r="I19" s="15" t="s">
        <v>167</v>
      </c>
    </row>
    <row r="20" spans="1:9">
      <c r="A20" s="15" t="s">
        <v>222</v>
      </c>
      <c r="B20" s="15" t="s">
        <v>83</v>
      </c>
      <c r="C20" s="15" t="s">
        <v>223</v>
      </c>
      <c r="D20" s="15" t="s">
        <v>212</v>
      </c>
      <c r="E20" s="15" t="s">
        <v>213</v>
      </c>
      <c r="F20" s="15" t="s">
        <v>214</v>
      </c>
      <c r="G20" s="15" t="s">
        <v>189</v>
      </c>
      <c r="H20" s="15" t="s">
        <v>215</v>
      </c>
      <c r="I20" s="15" t="s">
        <v>191</v>
      </c>
    </row>
    <row r="21" spans="1:9">
      <c r="A21" s="15" t="s">
        <v>224</v>
      </c>
      <c r="B21" s="15" t="s">
        <v>82</v>
      </c>
      <c r="C21" s="15" t="s">
        <v>225</v>
      </c>
      <c r="D21" s="15" t="s">
        <v>170</v>
      </c>
      <c r="E21" s="15" t="s">
        <v>132</v>
      </c>
      <c r="F21" s="15" t="s">
        <v>171</v>
      </c>
      <c r="G21" s="15" t="s">
        <v>172</v>
      </c>
      <c r="H21" s="15" t="s">
        <v>226</v>
      </c>
      <c r="I21" s="15" t="s">
        <v>159</v>
      </c>
    </row>
    <row r="22" spans="1:9">
      <c r="A22" s="15" t="s">
        <v>227</v>
      </c>
      <c r="B22" s="15" t="s">
        <v>84</v>
      </c>
      <c r="C22" s="15" t="s">
        <v>228</v>
      </c>
      <c r="D22" s="15" t="s">
        <v>229</v>
      </c>
      <c r="E22" s="15" t="s">
        <v>230</v>
      </c>
      <c r="F22" s="15" t="s">
        <v>231</v>
      </c>
      <c r="G22" s="15" t="s">
        <v>232</v>
      </c>
      <c r="H22" s="15" t="s">
        <v>233</v>
      </c>
      <c r="I22" s="15" t="s">
        <v>159</v>
      </c>
    </row>
    <row r="23" spans="1:9">
      <c r="A23" s="15" t="s">
        <v>234</v>
      </c>
      <c r="B23" s="15" t="s">
        <v>85</v>
      </c>
      <c r="C23" s="15" t="s">
        <v>235</v>
      </c>
      <c r="D23" s="15" t="s">
        <v>150</v>
      </c>
      <c r="E23" s="15" t="s">
        <v>150</v>
      </c>
      <c r="F23" s="15" t="s">
        <v>150</v>
      </c>
      <c r="G23" s="15" t="s">
        <v>40</v>
      </c>
      <c r="H23" s="15" t="s">
        <v>33</v>
      </c>
      <c r="I23" s="15" t="s">
        <v>180</v>
      </c>
    </row>
    <row r="24" spans="1:9">
      <c r="A24" s="15" t="s">
        <v>236</v>
      </c>
      <c r="B24" s="15" t="s">
        <v>84</v>
      </c>
      <c r="C24" s="15" t="s">
        <v>237</v>
      </c>
      <c r="D24" s="15" t="s">
        <v>162</v>
      </c>
      <c r="E24" s="15" t="s">
        <v>163</v>
      </c>
      <c r="F24" s="15" t="s">
        <v>164</v>
      </c>
      <c r="G24" s="15" t="s">
        <v>165</v>
      </c>
      <c r="H24" s="15" t="s">
        <v>238</v>
      </c>
      <c r="I24" s="15" t="s">
        <v>167</v>
      </c>
    </row>
    <row r="25" spans="1:9">
      <c r="A25" s="15" t="s">
        <v>239</v>
      </c>
      <c r="B25" s="15" t="s">
        <v>82</v>
      </c>
      <c r="C25" s="15" t="s">
        <v>240</v>
      </c>
      <c r="D25" s="15" t="s">
        <v>170</v>
      </c>
      <c r="E25" s="15" t="s">
        <v>132</v>
      </c>
      <c r="F25" s="15" t="s">
        <v>171</v>
      </c>
      <c r="G25" s="15" t="s">
        <v>172</v>
      </c>
      <c r="H25" s="15" t="s">
        <v>241</v>
      </c>
      <c r="I25" s="15" t="s">
        <v>159</v>
      </c>
    </row>
    <row r="26" spans="1:9">
      <c r="A26" s="15" t="s">
        <v>242</v>
      </c>
      <c r="B26" s="15" t="s">
        <v>82</v>
      </c>
      <c r="C26" s="15" t="s">
        <v>243</v>
      </c>
      <c r="D26" s="15" t="s">
        <v>132</v>
      </c>
      <c r="E26" s="15" t="s">
        <v>129</v>
      </c>
      <c r="F26" s="15" t="s">
        <v>200</v>
      </c>
      <c r="G26" s="15" t="s">
        <v>201</v>
      </c>
      <c r="H26" s="15" t="s">
        <v>244</v>
      </c>
      <c r="I26" s="15" t="s">
        <v>167</v>
      </c>
    </row>
    <row r="27" spans="1:9">
      <c r="A27" s="15" t="s">
        <v>245</v>
      </c>
      <c r="B27" s="15" t="s">
        <v>82</v>
      </c>
      <c r="C27" s="15" t="s">
        <v>246</v>
      </c>
      <c r="D27" s="15" t="s">
        <v>247</v>
      </c>
      <c r="E27" s="15" t="s">
        <v>248</v>
      </c>
      <c r="F27" s="15" t="s">
        <v>249</v>
      </c>
      <c r="G27" s="15" t="s">
        <v>250</v>
      </c>
      <c r="H27" s="15" t="s">
        <v>251</v>
      </c>
      <c r="I27" s="15" t="s">
        <v>194</v>
      </c>
    </row>
    <row r="28" spans="1:9">
      <c r="A28" s="15" t="s">
        <v>252</v>
      </c>
      <c r="B28" s="15" t="s">
        <v>83</v>
      </c>
      <c r="C28" s="15" t="s">
        <v>253</v>
      </c>
      <c r="D28" s="15" t="s">
        <v>212</v>
      </c>
      <c r="E28" s="15" t="s">
        <v>213</v>
      </c>
      <c r="F28" s="15" t="s">
        <v>214</v>
      </c>
      <c r="G28" s="15" t="s">
        <v>189</v>
      </c>
      <c r="H28" s="15" t="s">
        <v>215</v>
      </c>
      <c r="I28" s="15" t="s">
        <v>191</v>
      </c>
    </row>
    <row r="29" spans="1:9">
      <c r="A29" s="15" t="s">
        <v>254</v>
      </c>
      <c r="B29" s="15" t="s">
        <v>83</v>
      </c>
      <c r="C29" s="15" t="s">
        <v>255</v>
      </c>
      <c r="D29" s="15" t="s">
        <v>205</v>
      </c>
      <c r="E29" s="15" t="s">
        <v>206</v>
      </c>
      <c r="F29" s="15" t="s">
        <v>207</v>
      </c>
      <c r="G29" s="15" t="s">
        <v>208</v>
      </c>
      <c r="H29" s="15" t="s">
        <v>256</v>
      </c>
      <c r="I29" s="15" t="s">
        <v>167</v>
      </c>
    </row>
    <row r="31" spans="1:9">
      <c r="A31" s="18" t="s">
        <v>257</v>
      </c>
    </row>
  </sheetData>
  <autoFilter ref="A4:I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258</v>
      </c>
    </row>
    <row r="3" spans="1:2">
      <c r="A3" s="6" t="s">
        <v>259</v>
      </c>
    </row>
    <row r="4" spans="1:2">
      <c r="A4" s="6" t="s">
        <v>260</v>
      </c>
      <c r="B4" s="20" t="s">
        <v>261</v>
      </c>
    </row>
    <row r="5" spans="1:2">
      <c r="A5" s="6" t="s">
        <v>260</v>
      </c>
      <c r="B5" s="20" t="s">
        <v>262</v>
      </c>
    </row>
    <row r="6" spans="1:2">
      <c r="A6" s="6" t="s">
        <v>260</v>
      </c>
      <c r="B6" s="20" t="s">
        <v>263</v>
      </c>
    </row>
    <row r="8" spans="1:2">
      <c r="A8" s="6" t="s">
        <v>264</v>
      </c>
    </row>
    <row r="9" spans="1:2">
      <c r="A9" s="6">
        <v>1</v>
      </c>
      <c r="B9" s="3" t="s">
        <v>265</v>
      </c>
    </row>
    <row r="10" spans="1:2">
      <c r="A10" s="6">
        <v>2</v>
      </c>
      <c r="B10" s="3" t="s">
        <v>266</v>
      </c>
    </row>
    <row r="11" spans="1:2">
      <c r="A11" s="6">
        <v>3</v>
      </c>
      <c r="B11" s="3" t="s">
        <v>267</v>
      </c>
    </row>
    <row r="12" spans="1:2">
      <c r="A12" s="6">
        <v>4</v>
      </c>
      <c r="B12" s="3" t="s">
        <v>268</v>
      </c>
    </row>
    <row r="13" spans="1:2">
      <c r="A13" s="6">
        <v>5</v>
      </c>
      <c r="B13" s="3" t="s">
        <v>269</v>
      </c>
    </row>
    <row r="14" spans="1:2">
      <c r="A14" s="6">
        <v>6</v>
      </c>
      <c r="B14" s="3" t="s">
        <v>270</v>
      </c>
    </row>
    <row r="15" spans="1:2">
      <c r="A15" s="6">
        <v>7</v>
      </c>
      <c r="B15" s="3" t="s">
        <v>271</v>
      </c>
    </row>
    <row r="16" spans="1:2">
      <c r="A16" s="6">
        <v>8</v>
      </c>
      <c r="B16" s="3" t="s">
        <v>272</v>
      </c>
    </row>
    <row r="17" spans="1:2">
      <c r="A17" s="6">
        <v>9</v>
      </c>
      <c r="B17" s="3" t="s">
        <v>273</v>
      </c>
    </row>
    <row r="18" spans="1:2">
      <c r="A18" s="6">
        <v>10</v>
      </c>
      <c r="B18" s="3" t="s">
        <v>274</v>
      </c>
    </row>
    <row r="19" spans="1:2">
      <c r="A19" s="6">
        <v>11</v>
      </c>
      <c r="B19" s="3" t="s">
        <v>275</v>
      </c>
    </row>
    <row r="20" spans="1:2">
      <c r="A20" s="6">
        <v>12</v>
      </c>
      <c r="B20" s="3" t="s">
        <v>276</v>
      </c>
    </row>
    <row r="21" spans="1:2">
      <c r="A21" s="6">
        <v>13</v>
      </c>
      <c r="B21" s="3" t="s">
        <v>277</v>
      </c>
    </row>
    <row r="22" spans="1:2">
      <c r="A22" s="6">
        <v>14</v>
      </c>
      <c r="B22" s="3" t="s">
        <v>278</v>
      </c>
    </row>
    <row r="23" spans="1:2">
      <c r="A23" s="6">
        <v>15</v>
      </c>
      <c r="B23" s="3" t="s">
        <v>279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280</v>
      </c>
      <c r="B1" s="8" t="s">
        <v>281</v>
      </c>
      <c r="C1" s="8" t="s">
        <v>282</v>
      </c>
      <c r="D1" s="8" t="s">
        <v>283</v>
      </c>
    </row>
    <row r="2" spans="1:4">
      <c r="A2" s="21" t="s">
        <v>284</v>
      </c>
      <c r="B2" s="15" t="s">
        <v>285</v>
      </c>
      <c r="C2" s="22" t="s">
        <v>286</v>
      </c>
      <c r="D2" s="22"/>
    </row>
    <row r="3" spans="1:4">
      <c r="A3" s="21" t="s">
        <v>287</v>
      </c>
      <c r="B3" s="15" t="s">
        <v>285</v>
      </c>
      <c r="C3" s="22" t="s">
        <v>288</v>
      </c>
      <c r="D3" s="22" t="s">
        <v>289</v>
      </c>
    </row>
    <row r="4" spans="1:4">
      <c r="A4" s="21" t="s">
        <v>287</v>
      </c>
      <c r="B4" s="15" t="s">
        <v>285</v>
      </c>
      <c r="C4" s="22" t="s">
        <v>290</v>
      </c>
      <c r="D4" s="22"/>
    </row>
    <row r="5" spans="1:4">
      <c r="A5" s="21" t="s">
        <v>287</v>
      </c>
      <c r="B5" s="15" t="s">
        <v>285</v>
      </c>
      <c r="C5" s="22" t="s">
        <v>291</v>
      </c>
      <c r="D5" s="22"/>
    </row>
    <row r="6" spans="1:4">
      <c r="A6" s="21" t="s">
        <v>287</v>
      </c>
      <c r="B6" s="15" t="s">
        <v>285</v>
      </c>
      <c r="C6" s="22" t="s">
        <v>292</v>
      </c>
      <c r="D6" s="22"/>
    </row>
    <row r="7" spans="1:4">
      <c r="A7" s="21" t="s">
        <v>287</v>
      </c>
      <c r="B7" s="15" t="s">
        <v>285</v>
      </c>
      <c r="C7" s="22" t="s">
        <v>293</v>
      </c>
      <c r="D7" s="22"/>
    </row>
    <row r="8" spans="1:4">
      <c r="A8" s="21" t="s">
        <v>287</v>
      </c>
      <c r="B8" s="15" t="s">
        <v>285</v>
      </c>
      <c r="C8" s="22" t="s">
        <v>294</v>
      </c>
      <c r="D8" s="22"/>
    </row>
    <row r="9" spans="1:4">
      <c r="A9" s="21" t="s">
        <v>287</v>
      </c>
      <c r="B9" s="15" t="s">
        <v>285</v>
      </c>
      <c r="C9" s="22" t="s">
        <v>295</v>
      </c>
      <c r="D9" s="22"/>
    </row>
    <row r="10" spans="1:4">
      <c r="A10" s="21" t="s">
        <v>287</v>
      </c>
      <c r="B10" s="15" t="s">
        <v>285</v>
      </c>
      <c r="C10" s="22" t="s">
        <v>296</v>
      </c>
      <c r="D10" s="22"/>
    </row>
    <row r="11" spans="1:4">
      <c r="A11" s="21" t="s">
        <v>287</v>
      </c>
      <c r="B11" s="15" t="s">
        <v>285</v>
      </c>
      <c r="C11" s="22" t="s">
        <v>297</v>
      </c>
      <c r="D11" s="22"/>
    </row>
    <row r="12" spans="1:4">
      <c r="A12" s="21" t="s">
        <v>287</v>
      </c>
      <c r="B12" s="15" t="s">
        <v>285</v>
      </c>
      <c r="C12" s="22" t="s">
        <v>272</v>
      </c>
      <c r="D12" s="22" t="s">
        <v>298</v>
      </c>
    </row>
    <row r="13" spans="1:4">
      <c r="A13" s="21" t="s">
        <v>287</v>
      </c>
      <c r="B13" s="15" t="s">
        <v>285</v>
      </c>
      <c r="C13" s="22" t="s">
        <v>273</v>
      </c>
      <c r="D13" s="22" t="s">
        <v>298</v>
      </c>
    </row>
    <row r="14" spans="1:4">
      <c r="A14" s="21" t="s">
        <v>287</v>
      </c>
      <c r="B14" s="15" t="s">
        <v>285</v>
      </c>
      <c r="C14" s="22" t="s">
        <v>274</v>
      </c>
      <c r="D14" s="22" t="s">
        <v>298</v>
      </c>
    </row>
    <row r="15" spans="1:4">
      <c r="A15" s="21" t="s">
        <v>287</v>
      </c>
      <c r="B15" s="15" t="s">
        <v>285</v>
      </c>
      <c r="C15" s="22" t="s">
        <v>275</v>
      </c>
      <c r="D15" s="22" t="s">
        <v>298</v>
      </c>
    </row>
    <row r="16" spans="1:4">
      <c r="A16" s="21" t="s">
        <v>287</v>
      </c>
      <c r="B16" s="15" t="s">
        <v>285</v>
      </c>
      <c r="C16" s="22" t="s">
        <v>276</v>
      </c>
      <c r="D16" s="22" t="s">
        <v>298</v>
      </c>
    </row>
    <row r="17" spans="1:4">
      <c r="A17" s="21" t="s">
        <v>287</v>
      </c>
      <c r="B17" s="15" t="s">
        <v>285</v>
      </c>
      <c r="C17" s="22" t="s">
        <v>277</v>
      </c>
      <c r="D17" s="22" t="s">
        <v>298</v>
      </c>
    </row>
    <row r="18" spans="1:4">
      <c r="A18" s="21" t="s">
        <v>287</v>
      </c>
      <c r="B18" s="15" t="s">
        <v>285</v>
      </c>
      <c r="C18" s="22" t="s">
        <v>278</v>
      </c>
      <c r="D18" s="22" t="s">
        <v>298</v>
      </c>
    </row>
    <row r="19" spans="1:4">
      <c r="A19" s="21" t="s">
        <v>287</v>
      </c>
      <c r="B19" s="15" t="s">
        <v>285</v>
      </c>
      <c r="C19" s="22" t="s">
        <v>279</v>
      </c>
      <c r="D19" s="22" t="s">
        <v>298</v>
      </c>
    </row>
    <row r="20" spans="1:4">
      <c r="A20" s="21" t="s">
        <v>299</v>
      </c>
      <c r="B20" s="15" t="s">
        <v>285</v>
      </c>
      <c r="C20" s="22" t="s">
        <v>300</v>
      </c>
      <c r="D20" s="22"/>
    </row>
    <row r="21" spans="1:4">
      <c r="A21" s="21" t="s">
        <v>299</v>
      </c>
      <c r="B21" s="15" t="s">
        <v>301</v>
      </c>
      <c r="C21" s="22" t="s">
        <v>302</v>
      </c>
      <c r="D21" s="22"/>
    </row>
    <row r="22" spans="1:4">
      <c r="A22" s="21" t="s">
        <v>299</v>
      </c>
      <c r="B22" s="15" t="s">
        <v>303</v>
      </c>
      <c r="C22" s="22" t="s">
        <v>304</v>
      </c>
      <c r="D22" s="22"/>
    </row>
    <row r="23" spans="1:4">
      <c r="A23" s="21" t="s">
        <v>305</v>
      </c>
      <c r="B23" s="15" t="s">
        <v>285</v>
      </c>
      <c r="C23" s="22" t="s">
        <v>306</v>
      </c>
      <c r="D23" s="22" t="s">
        <v>307</v>
      </c>
    </row>
    <row r="24" spans="1:4">
      <c r="A24" s="21" t="s">
        <v>305</v>
      </c>
      <c r="B24" s="15" t="s">
        <v>285</v>
      </c>
      <c r="C24" s="22" t="s">
        <v>308</v>
      </c>
      <c r="D24" s="22" t="s">
        <v>309</v>
      </c>
    </row>
    <row r="25" spans="1:4">
      <c r="A25" s="21" t="s">
        <v>305</v>
      </c>
      <c r="B25" s="15" t="s">
        <v>285</v>
      </c>
      <c r="C25" s="22" t="s">
        <v>310</v>
      </c>
      <c r="D25" s="22" t="s">
        <v>311</v>
      </c>
    </row>
    <row r="26" spans="1:4">
      <c r="A26" s="21" t="s">
        <v>305</v>
      </c>
      <c r="B26" s="15" t="s">
        <v>301</v>
      </c>
      <c r="C26" s="22" t="s">
        <v>312</v>
      </c>
      <c r="D26" s="22"/>
    </row>
    <row r="27" spans="1:4">
      <c r="A27" s="21" t="s">
        <v>305</v>
      </c>
      <c r="B27" s="15" t="s">
        <v>313</v>
      </c>
      <c r="C27" s="22" t="s">
        <v>314</v>
      </c>
      <c r="D27" s="22"/>
    </row>
    <row r="28" spans="1:4">
      <c r="A28" s="21" t="s">
        <v>315</v>
      </c>
      <c r="B28" s="15" t="s">
        <v>313</v>
      </c>
      <c r="C28" s="22" t="s">
        <v>316</v>
      </c>
      <c r="D28" s="22"/>
    </row>
  </sheetData>
  <autoFilter ref="A1:D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Your open deals, weighted the 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2026-09-21T18:41:29Z</dcterms:created>
  <dcterms:modified xsi:type="dcterms:W3CDTF">2026-09-21T18:41:29Z</dcterms:modified>
</cp:coreProperties>
</file>