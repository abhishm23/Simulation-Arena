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commendation" sheetId="2" r:id="rId2"/>
    <sheet name="Chart data" sheetId="3" r:id="rId3"/>
    <sheet name="Charts" sheetId="4" r:id="rId4"/>
    <sheet name="Quarter by quarter where the de" sheetId="5" r:id="rId5"/>
    <sheet name="The money, weighted by the odds" sheetId="6" r:id="rId6"/>
    <sheet name="What sitting still costs you" sheetId="7" r:id="rId7"/>
    <sheet name="Your open deals, weighted the s" sheetId="8" r:id="rId8"/>
    <sheet name="Assumptions" sheetId="9" r:id="rId9"/>
    <sheet name="Run log" sheetId="10" r:id="rId10"/>
  </sheets>
  <definedNames>
    <definedName name="_xlnm._FilterDatabase" localSheetId="4" hidden="1">'Quarter by quarter where the de'!$A$4:$H$10</definedName>
    <definedName name="_xlnm._FilterDatabase" localSheetId="9" hidden="1">'Run log'!$A$1:$D$27</definedName>
    <definedName name="_xlnm._FilterDatabase" localSheetId="5" hidden="1">'The money, weighted by the odds'!$A$4:$G$10</definedName>
    <definedName name="_xlnm._FilterDatabase" localSheetId="6" hidden="1">'What sitting still costs you'!$A$4:$C$8</definedName>
    <definedName name="_xlnm._FilterDatabase" localSheetId="7" hidden="1">'Your open deals, weighted the s'!$A$4:$I$29</definedName>
  </definedNames>
  <calcPr calcId="124519" fullCalcOnLoad="1"/>
</workbook>
</file>

<file path=xl/sharedStrings.xml><?xml version="1.0" encoding="utf-8"?>
<sst xmlns="http://schemas.openxmlformats.org/spreadsheetml/2006/main" count="596" uniqueCount="337">
  <si>
    <t>Simulation Arena</t>
  </si>
  <si>
    <t>Deal Aging &amp; Multi-Quarter Sales Cycles: The Pipeline Hopper</t>
  </si>
  <si>
    <t>Sales says quarter 2; the odds from your history are 0.0015% for closing then - 0.043% of the value slips past that date, and &gt;99.9% never closes at all. Plan on $102 of this $3.00M deal, not the full amount.</t>
  </si>
  <si>
    <t>What we did</t>
  </si>
  <si>
    <t>Every deal on your board hops from stage to stage. We counted how your own deals actually hopped - forward, staying put for a quarter, or dying - and turned those counts into odds. We also account for how long a deal has been sitting still: the older it gets, the more likely it is to slip or die, so a deal that has been parked for a year is priced differently from one that has just arrived. Then we rolled the odds forward one quarter at a time, which gives the chance of the deal being anywhere on the board in each future quarter. Money is then weighted by those odds: if there is a 1-in-8 chance of closing next quarter, only an eighth of the value deserves to be in next quarter's plan.</t>
  </si>
  <si>
    <t>Seed</t>
  </si>
  <si>
    <t>Run id</t>
  </si>
  <si>
    <t>run_7ed70509db9c</t>
  </si>
  <si>
    <t>Generated</t>
  </si>
  <si>
    <t>22 Sep 2026 04:51</t>
  </si>
  <si>
    <t>Scenarios tested</t>
  </si>
  <si>
    <t>55,069</t>
  </si>
  <si>
    <t>Method</t>
  </si>
  <si>
    <t>Markov chain on your own stage-to-stage history, with deal aging</t>
  </si>
  <si>
    <t>Reproducible</t>
  </si>
  <si>
    <t>Same seed gives the same numbers</t>
  </si>
  <si>
    <t>The numbers that matter</t>
  </si>
  <si>
    <t>Number</t>
  </si>
  <si>
    <t>Value</t>
  </si>
  <si>
    <t>What it means</t>
  </si>
  <si>
    <t>Compared with</t>
  </si>
  <si>
    <t>Chance it closes in Q2, as sales promised</t>
  </si>
  <si>
    <t>0.0015%</t>
  </si>
  <si>
    <t>A slim chance the money actually lands in the quarter it was promised for.</t>
  </si>
  <si>
    <t>if we ignored how long it has been sitting: 0.0015%</t>
  </si>
  <si>
    <t>Chance it slips past that quarter</t>
  </si>
  <si>
    <t>0.043%</t>
  </si>
  <si>
    <t>The chance the deal does close, but later than the date sales promised.</t>
  </si>
  <si>
    <t>-</t>
  </si>
  <si>
    <t>Chance it dies instead</t>
  </si>
  <si>
    <t>&gt;99.9%</t>
  </si>
  <si>
    <t>The deal never closes - it stalls or the customer walks.</t>
  </si>
  <si>
    <t>0.075% still stuck in Legal at the end of the horizon</t>
  </si>
  <si>
    <t>What you can bank on by Q2</t>
  </si>
  <si>
    <t>$102</t>
  </si>
  <si>
    <t>The deal value weighted by its real chance of arriving - 0.0% of $3.00M.</t>
  </si>
  <si>
    <t>Cash committed against odds</t>
  </si>
  <si>
    <t>$3.00M</t>
  </si>
  <si>
    <t>You are planning to spend $3.00M that has only a 0.0% chance of arriving.</t>
  </si>
  <si>
    <t>$3.00M promised vs $102 realistic</t>
  </si>
  <si>
    <t>Quarters until it really closes</t>
  </si>
  <si>
    <t>11.4</t>
  </si>
  <si>
    <t>On average, counted from today, for the deals that do close (3.9 quarters to a final yes or no).</t>
  </si>
  <si>
    <t>sales promised 2</t>
  </si>
  <si>
    <t>How long this deal has been sitting</t>
  </si>
  <si>
    <t>1 quarter</t>
  </si>
  <si>
    <t>The older a deal gets, the more likely it is to slip or die - we have priced that in.</t>
  </si>
  <si>
    <t>we treat it as stale after 4 quarters</t>
  </si>
  <si>
    <t>Recommendation</t>
  </si>
  <si>
    <t>Do not book $3.00M for Q2. Book $102 and hold the rest back.</t>
  </si>
  <si>
    <t>Risk</t>
  </si>
  <si>
    <t>High</t>
  </si>
  <si>
    <t>Risk score</t>
  </si>
  <si>
    <t>100 out of 100</t>
  </si>
  <si>
    <t>Confidence</t>
  </si>
  <si>
    <t>Why</t>
  </si>
  <si>
    <t>1.</t>
  </si>
  <si>
    <t>The chance of closing in Q2 is 0.0%, not 100%.</t>
  </si>
  <si>
    <t>2.</t>
  </si>
  <si>
    <t>0.0% of the value arrives later than promised. and &gt;99.9% never arrives at all.</t>
  </si>
  <si>
    <t>3.</t>
  </si>
  <si>
    <t>Planning on the full $3.00M commits $3.00M of cash against a 0.0% chance.</t>
  </si>
  <si>
    <t>4.</t>
  </si>
  <si>
    <t>Deal value $3.00M is carried at full weight by the forecast.</t>
  </si>
  <si>
    <t>What to do</t>
  </si>
  <si>
    <t>Action 1</t>
  </si>
  <si>
    <t>Put $102 in the Q2 plan and treat the remaining $3.00M as contingent on the deal actually reaching the next stage.</t>
  </si>
  <si>
    <t>Action 2</t>
  </si>
  <si>
    <t>Attach a stage gate to any hiring, inventory or spend that depends on this deal.</t>
  </si>
  <si>
    <t>Action 3</t>
  </si>
  <si>
    <t>Re-forecast the whole open pipeline the same way, not just this deal - the same optimism is almost certainly in the rest of the board.</t>
  </si>
  <si>
    <t>Action 4</t>
  </si>
  <si>
    <t>Ask sales to forecast with odds attached, not dates.</t>
  </si>
  <si>
    <t>Trade-off</t>
  </si>
  <si>
    <t>Booking less now means a smaller number in this quarter's plan - but it avoids the mid-year freeze that follows a promise that does not arrive.</t>
  </si>
  <si>
    <t>Charts</t>
  </si>
  <si>
    <t>Where the deal actually is, quarter by quarter</t>
  </si>
  <si>
    <t>Q1</t>
  </si>
  <si>
    <t>Q2</t>
  </si>
  <si>
    <t>Q3</t>
  </si>
  <si>
    <t>Q4</t>
  </si>
  <si>
    <t>Q5</t>
  </si>
  <si>
    <t>Q6</t>
  </si>
  <si>
    <t>Initial RFP</t>
  </si>
  <si>
    <t>Technical Review</t>
  </si>
  <si>
    <t>Business Case</t>
  </si>
  <si>
    <t>CF Approval</t>
  </si>
  <si>
    <t>Legal &amp; InfoSec</t>
  </si>
  <si>
    <t>Closed_Won</t>
  </si>
  <si>
    <t>Read the green band: that is the chance the deal is already closed by each quarter. The grey blocks are the stages it is still sitting in.</t>
  </si>
  <si>
    <t>When it actually closes vs when sales said</t>
  </si>
  <si>
    <t>Chance of closing</t>
  </si>
  <si>
    <t>The tall bar is the quarter the deal is most likely to close in. It is almost never the quarter on the forecast.</t>
  </si>
  <si>
    <t>Money you can actually plan on</t>
  </si>
  <si>
    <t>Weighted by the real odds</t>
  </si>
  <si>
    <t>What sales promised</t>
  </si>
  <si>
    <t>The gap between the green line and the red line is cash you would be committing before it has arrived.</t>
  </si>
  <si>
    <t>Quarter by quarter: where the deal is</t>
  </si>
  <si>
    <t>The chance of the deal sitting in each stage at the end of every quarter.</t>
  </si>
  <si>
    <t>Quarter</t>
  </si>
  <si>
    <t>Closed_Lost</t>
  </si>
  <si>
    <t>51.7%</t>
  </si>
  <si>
    <t>12.2%</t>
  </si>
  <si>
    <t>0.0019%</t>
  </si>
  <si>
    <t>36.1%</t>
  </si>
  <si>
    <t>26.7%</t>
  </si>
  <si>
    <t>13.0%</t>
  </si>
  <si>
    <t>1.9%</t>
  </si>
  <si>
    <t>0.0029%</t>
  </si>
  <si>
    <t>0.0027%</t>
  </si>
  <si>
    <t>0.0034%</t>
  </si>
  <si>
    <t>58.4%</t>
  </si>
  <si>
    <t>13.8%</t>
  </si>
  <si>
    <t>10.3%</t>
  </si>
  <si>
    <t>3.0%</t>
  </si>
  <si>
    <t>0.29%</t>
  </si>
  <si>
    <t>0.0028%</t>
  </si>
  <si>
    <t>0.0045%</t>
  </si>
  <si>
    <t>72.5%</t>
  </si>
  <si>
    <t>7.2%</t>
  </si>
  <si>
    <t>7.3%</t>
  </si>
  <si>
    <t>3.3%</t>
  </si>
  <si>
    <t>0.65%</t>
  </si>
  <si>
    <t>0.018%</t>
  </si>
  <si>
    <t>0.0054%</t>
  </si>
  <si>
    <t>81.6%</t>
  </si>
  <si>
    <t>3.7%</t>
  </si>
  <si>
    <t>4.8%</t>
  </si>
  <si>
    <t>2.9%</t>
  </si>
  <si>
    <t>0.92%</t>
  </si>
  <si>
    <t>0.045%</t>
  </si>
  <si>
    <t>0.0067%</t>
  </si>
  <si>
    <t>87.6%</t>
  </si>
  <si>
    <t>2.0%</t>
  </si>
  <si>
    <t>3.1%</t>
  </si>
  <si>
    <t>2.3%</t>
  </si>
  <si>
    <t>1.0%</t>
  </si>
  <si>
    <t>0.075%</t>
  </si>
  <si>
    <t>0.0088%</t>
  </si>
  <si>
    <t>91.5%</t>
  </si>
  <si>
    <t>Read the 'Closed_Won' column to see how the chance of closing builds up.</t>
  </si>
  <si>
    <t>The money, weighted by the odds</t>
  </si>
  <si>
    <t>What this deal is really worth to each quarter's plan.</t>
  </si>
  <si>
    <t>Chance of closing then</t>
  </si>
  <si>
    <t>Value earned that quarter</t>
  </si>
  <si>
    <t>Value banked by then</t>
  </si>
  <si>
    <t>Chance closed by then</t>
  </si>
  <si>
    <t>Chance dead by then</t>
  </si>
  <si>
    <t>Still not banked</t>
  </si>
  <si>
    <t>$58</t>
  </si>
  <si>
    <t>$44</t>
  </si>
  <si>
    <t>0.0011%</t>
  </si>
  <si>
    <t>$34</t>
  </si>
  <si>
    <t>$136</t>
  </si>
  <si>
    <t>0.0009%</t>
  </si>
  <si>
    <t>$27</t>
  </si>
  <si>
    <t>$163</t>
  </si>
  <si>
    <t>0.0012%</t>
  </si>
  <si>
    <t>$37</t>
  </si>
  <si>
    <t>$200</t>
  </si>
  <si>
    <t>0.0021%</t>
  </si>
  <si>
    <t>$62</t>
  </si>
  <si>
    <t>$263</t>
  </si>
  <si>
    <t>Row 2 is the quarter sales promised.</t>
  </si>
  <si>
    <t>What sitting still costs you</t>
  </si>
  <si>
    <t>The same deal judged at three ages, plus the age we actually used for it.</t>
  </si>
  <si>
    <t>How long it has been sitting</t>
  </si>
  <si>
    <t>Chance it closes by Q2</t>
  </si>
  <si>
    <t>Chance it never closes</t>
  </si>
  <si>
    <t>Fresh (under 2 quarters)</t>
  </si>
  <si>
    <t>Settled (2-4 quarters)</t>
  </si>
  <si>
    <t>0.0%</t>
  </si>
  <si>
    <t>100.0%</t>
  </si>
  <si>
    <t>Stale (over 4 quarters)</t>
  </si>
  <si>
    <t>This deal (1 quarter)</t>
  </si>
  <si>
    <t>The older a deal is, the lower it sits. The highlighted row is the age we used for the forecast above.</t>
  </si>
  <si>
    <t>Your open deals, weighted the same way (top 25)</t>
  </si>
  <si>
    <t>Every open deal on the board, priced by the odds of it actually closing - each one judged at its own age.</t>
  </si>
  <si>
    <t>Deal</t>
  </si>
  <si>
    <t>Stage now</t>
  </si>
  <si>
    <t>Closes next quarter</t>
  </si>
  <si>
    <t>Within 2 quarters</t>
  </si>
  <si>
    <t>Ever closes</t>
  </si>
  <si>
    <t>Expected quarter</t>
  </si>
  <si>
    <t>Value you can bank on</t>
  </si>
  <si>
    <t>Quarters sitting</t>
  </si>
  <si>
    <t>P-00009825</t>
  </si>
  <si>
    <t>$20.00M</t>
  </si>
  <si>
    <t>&lt;0.0001%</t>
  </si>
  <si>
    <t>n/a</t>
  </si>
  <si>
    <t>$0</t>
  </si>
  <si>
    <t>10</t>
  </si>
  <si>
    <t>P-00009673</t>
  </si>
  <si>
    <t>$17.09M</t>
  </si>
  <si>
    <t>0.002%</t>
  </si>
  <si>
    <t>0.0038%</t>
  </si>
  <si>
    <t>3.0</t>
  </si>
  <si>
    <t>$647</t>
  </si>
  <si>
    <t>2</t>
  </si>
  <si>
    <t>P-00012463</t>
  </si>
  <si>
    <t>$13.94M</t>
  </si>
  <si>
    <t>0.0051%</t>
  </si>
  <si>
    <t>0.01%</t>
  </si>
  <si>
    <t>0.46%</t>
  </si>
  <si>
    <t>7.3</t>
  </si>
  <si>
    <t>$64k</t>
  </si>
  <si>
    <t>1</t>
  </si>
  <si>
    <t>P-00006325</t>
  </si>
  <si>
    <t>$12.44M</t>
  </si>
  <si>
    <t>3</t>
  </si>
  <si>
    <t>P-00016244</t>
  </si>
  <si>
    <t>$11.68M</t>
  </si>
  <si>
    <t>6</t>
  </si>
  <si>
    <t>P-00018202</t>
  </si>
  <si>
    <t>$11.44M</t>
  </si>
  <si>
    <t>11</t>
  </si>
  <si>
    <t>P-00003062</t>
  </si>
  <si>
    <t>$11.39M</t>
  </si>
  <si>
    <t>0.00026%</t>
  </si>
  <si>
    <t>0.00043%</t>
  </si>
  <si>
    <t>0.00077%</t>
  </si>
  <si>
    <t>2.9</t>
  </si>
  <si>
    <t>$88</t>
  </si>
  <si>
    <t>P-00004183</t>
  </si>
  <si>
    <t>$10.20M</t>
  </si>
  <si>
    <t>4</t>
  </si>
  <si>
    <t>P-00014843</t>
  </si>
  <si>
    <t>$9.61M</t>
  </si>
  <si>
    <t>5</t>
  </si>
  <si>
    <t>P-00019754</t>
  </si>
  <si>
    <t>$9.11M</t>
  </si>
  <si>
    <t>0.00031%</t>
  </si>
  <si>
    <t>0.00052%</t>
  </si>
  <si>
    <t>0.00092%</t>
  </si>
  <si>
    <t>$84</t>
  </si>
  <si>
    <t>P-00013360</t>
  </si>
  <si>
    <t>$8.98M</t>
  </si>
  <si>
    <t>0.046%</t>
  </si>
  <si>
    <t>10.2</t>
  </si>
  <si>
    <t>$4k</t>
  </si>
  <si>
    <t>P-00018775</t>
  </si>
  <si>
    <t>$8.78M</t>
  </si>
  <si>
    <t>0.0033%</t>
  </si>
  <si>
    <t>0.006%</t>
  </si>
  <si>
    <t>0.16%</t>
  </si>
  <si>
    <t>9.1</t>
  </si>
  <si>
    <t>$14k</t>
  </si>
  <si>
    <t>P-00019159</t>
  </si>
  <si>
    <t>$8.42M</t>
  </si>
  <si>
    <t>P-00000030</t>
  </si>
  <si>
    <t>$8.32M</t>
  </si>
  <si>
    <t>P-00008074</t>
  </si>
  <si>
    <t>$8.31M</t>
  </si>
  <si>
    <t>P-00006913</t>
  </si>
  <si>
    <t>$8.30M</t>
  </si>
  <si>
    <t>P-00006040</t>
  </si>
  <si>
    <t>$8.26M</t>
  </si>
  <si>
    <t>$76</t>
  </si>
  <si>
    <t>P-00011138</t>
  </si>
  <si>
    <t>$8.25M</t>
  </si>
  <si>
    <t>0.0032%</t>
  </si>
  <si>
    <t>2.6</t>
  </si>
  <si>
    <t>$420</t>
  </si>
  <si>
    <t>P-00010498</t>
  </si>
  <si>
    <t>$8.09M</t>
  </si>
  <si>
    <t>P-00006169</t>
  </si>
  <si>
    <t>$7.87M</t>
  </si>
  <si>
    <t>$36k</t>
  </si>
  <si>
    <t>P-00007830</t>
  </si>
  <si>
    <t>$7.77M</t>
  </si>
  <si>
    <t>$71</t>
  </si>
  <si>
    <t>P-00000905</t>
  </si>
  <si>
    <t>$7.70M</t>
  </si>
  <si>
    <t>P-00009880</t>
  </si>
  <si>
    <t>$7.69M</t>
  </si>
  <si>
    <t>P-00000642</t>
  </si>
  <si>
    <t>$7.65M</t>
  </si>
  <si>
    <t>P-00008864</t>
  </si>
  <si>
    <t>$7.61M</t>
  </si>
  <si>
    <t>$13k</t>
  </si>
  <si>
    <t>Value you can bank on = deal value x its chance of ever closing.</t>
  </si>
  <si>
    <t>Assumptions and caveats</t>
  </si>
  <si>
    <t>Watch</t>
  </si>
  <si>
    <t>!</t>
  </si>
  <si>
    <t>Sales says Q2; the model says 0.0%. Committing the full $3.00M on that date is the single biggest risk in this plan.</t>
  </si>
  <si>
    <t>&gt;99.9% of deals at this stage never close at all - they are not 'slipping', they are gone. Treat that part of the pipeline as zero.</t>
  </si>
  <si>
    <t>Assumed</t>
  </si>
  <si>
    <t>Learned how deals hop between stages from 55,069 real stage moves (the quarter column told us what happened first). Paths nobody has taken yet are given a small benefit of the doubt rather than a flat zero chance.</t>
  </si>
  <si>
    <t>A deal that is won or dead stays that way - we force those stages to be final even if the history is messy.</t>
  </si>
  <si>
    <t>We priced how long deals sit still: past 4 quarters a deal gets progressively more likely to slip or die, up to a cap of 90.0% extra risk. The deal being forecast is treated as 1 quarters old.</t>
  </si>
  <si>
    <t>Deal value $3,000,000, starting in 'Initial RFP', 6 quarters ahead, fiscal year = 4 quarters.</t>
  </si>
  <si>
    <t>Each quarter a deal moves at most one stage forward; it may sit still or die. Deal size does not change the odds.</t>
  </si>
  <si>
    <t>Stage behaviour is assumed stable: the pattern in your history continues.</t>
  </si>
  <si>
    <t>Columns of your file we actually used: deal_id, stage, stage_order, quarter, amount, entered_quarter, days_in_stage.</t>
  </si>
  <si>
    <t>Deal / opportunity ID -&gt; your 'deal_id' column</t>
  </si>
  <si>
    <t>Pipeline stage -&gt; your 'stage' column</t>
  </si>
  <si>
    <t>Stage order (1,2,3...) -&gt; your 'stage_order' column</t>
  </si>
  <si>
    <t>Quarter of this sighting -&gt; your 'quarter' column</t>
  </si>
  <si>
    <t>Deal value -&gt; your 'amount' column</t>
  </si>
  <si>
    <t>Quarter the deal entered -&gt; your 'entered_quarter' column</t>
  </si>
  <si>
    <t>How long the deal has been sitting (quarters) -&gt; not in your file; not used</t>
  </si>
  <si>
    <t>How long it has been sitting (days) -&gt; your 'days_in_previous_stage' column</t>
  </si>
  <si>
    <t>Time</t>
  </si>
  <si>
    <t>Phase</t>
  </si>
  <si>
    <t>What happened</t>
  </si>
  <si>
    <t>Technical detail</t>
  </si>
  <si>
    <t>0.03s</t>
  </si>
  <si>
    <t>prepare</t>
  </si>
  <si>
    <t>Opening your file…</t>
  </si>
  <si>
    <t>Found 75,069 rows and 16 columns.</t>
  </si>
  <si>
    <t>source: ab_uc5_age_x0p1.csv</t>
  </si>
  <si>
    <t>You chose 'deal_id' for 'Deal / opportunity ID'.</t>
  </si>
  <si>
    <t>You chose 'stage' for 'Pipeline stage'.</t>
  </si>
  <si>
    <t>You chose 'stage_order' for 'Stage order (1,2,3...)'.</t>
  </si>
  <si>
    <t>You chose 'quarter' for 'Quarter of this sighting'.</t>
  </si>
  <si>
    <t>You chose 'amount' for 'Deal value'.</t>
  </si>
  <si>
    <t>You chose 'entered_quarter' for 'Quarter the deal entered'.</t>
  </si>
  <si>
    <t>We could not find a 'How long the deal has been sitting (quarters)' column. We left it out and will work without it.</t>
  </si>
  <si>
    <t>You chose 'days_in_previous_stage' for 'How long it has been sitting (days)'.</t>
  </si>
  <si>
    <t>mapping used</t>
  </si>
  <si>
    <t>3.66s</t>
  </si>
  <si>
    <t>Read 75,069 records into the model.</t>
  </si>
  <si>
    <t>simulate</t>
  </si>
  <si>
    <t>Running the simulation…</t>
  </si>
  <si>
    <t>read</t>
  </si>
  <si>
    <t>Reading how your deals have moved through the pipeline...</t>
  </si>
  <si>
    <t>5.01s</t>
  </si>
  <si>
    <t>Laid the stages out in the order you gave us.</t>
  </si>
  <si>
    <t>Initial RFP -&gt; Technical Review -&gt; Business Case -&gt; CF Approval -&gt; Legal &amp; InfoSec -&gt; Closed_Won -&gt; Closed_Lost</t>
  </si>
  <si>
    <t>Learned the hop pattern from 55,069 real stage moves across 20,000 deals.</t>
  </si>
  <si>
    <t>7 stages, endings: ['Closed_Won', 'Closed_Lost']</t>
  </si>
  <si>
    <t>Rolling the odds forward 6 quarters from 'Initial RFP'...</t>
  </si>
  <si>
    <t>5.04s</t>
  </si>
  <si>
    <t>summarize</t>
  </si>
  <si>
    <t>Sales says quarter 2. The odds from your history are 0.0% for closing in that quarter.</t>
  </si>
  <si>
    <t>5.51s</t>
  </si>
  <si>
    <t>Done. Plan on $102 of $3.00M for Q2, not the full amount.</t>
  </si>
</sst>
</file>

<file path=xl/styles.xml><?xml version="1.0" encoding="utf-8"?>
<styleSheet xmlns="http://schemas.openxmlformats.org/spreadsheetml/2006/main">
  <numFmts count="1">
    <numFmt numFmtId="164" formatCode="#,##0"/>
  </numFmts>
  <fonts count="13">
    <font>
      <sz val="11"/>
      <color theme="1"/>
      <name val="Calibri"/>
      <family val="2"/>
      <scheme val="minor"/>
    </font>
    <font>
      <b/>
      <sz val="11"/>
      <color rgb="FF22C55E"/>
      <name val="Calibri"/>
      <family val="2"/>
      <scheme val="minor"/>
    </font>
    <font>
      <b/>
      <sz val="18"/>
      <color rgb="FF0F172A"/>
      <name val="Calibri"/>
      <family val="2"/>
      <scheme val="minor"/>
    </font>
    <font>
      <sz val="11"/>
      <color rgb="FF0F172A"/>
      <name val="Calibri"/>
      <family val="2"/>
      <scheme val="minor"/>
    </font>
    <font>
      <b/>
      <sz val="13"/>
      <color rgb="FF0F172A"/>
      <name val="Calibri"/>
      <family val="2"/>
      <scheme val="minor"/>
    </font>
    <font>
      <b/>
      <sz val="11"/>
      <color rgb="FF3341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475569"/>
      <name val="Calibri"/>
      <family val="2"/>
      <scheme val="minor"/>
    </font>
    <font>
      <i/>
      <sz val="11"/>
      <color rgb="FF64748B"/>
      <name val="Calibri"/>
      <family val="2"/>
      <scheme val="minor"/>
    </font>
    <font>
      <sz val="11"/>
      <color rgb="FF78350F"/>
      <name val="Calibri"/>
      <family val="2"/>
      <scheme val="minor"/>
    </font>
    <font>
      <sz val="11"/>
      <color rgb="FF47556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DCFCE7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FDE68A"/>
      </left>
      <right style="thin">
        <color rgb="FFFDE68A"/>
      </right>
      <top style="thin">
        <color rgb="FFFDE68A"/>
      </top>
      <bottom style="thin">
        <color rgb="FFFDE68A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1" xfId="0" applyFont="1" applyBorder="1"/>
    <xf numFmtId="0" fontId="0" fillId="0" borderId="0" xfId="0" applyAlignment="1">
      <alignment vertical="top" wrapText="1"/>
    </xf>
    <xf numFmtId="0" fontId="5" fillId="0" borderId="0" xfId="0" applyFont="1" applyAlignment="1">
      <alignment vertical="top"/>
    </xf>
    <xf numFmtId="164" fontId="0" fillId="0" borderId="2" xfId="0" applyNumberFormat="1" applyBorder="1"/>
    <xf numFmtId="0" fontId="6" fillId="2" borderId="3" xfId="0" applyFont="1" applyFill="1" applyBorder="1" applyAlignment="1">
      <alignment vertical="center" wrapText="1"/>
    </xf>
    <xf numFmtId="0" fontId="0" fillId="3" borderId="2" xfId="0" applyFill="1" applyBorder="1" applyAlignment="1">
      <alignment vertical="top" wrapText="1"/>
    </xf>
    <xf numFmtId="0" fontId="7" fillId="3" borderId="2" xfId="0" applyFont="1" applyFill="1" applyBorder="1" applyAlignment="1">
      <alignment vertical="top"/>
    </xf>
    <xf numFmtId="0" fontId="0" fillId="4" borderId="2" xfId="0" applyFill="1" applyBorder="1" applyAlignment="1">
      <alignment vertical="top" wrapText="1"/>
    </xf>
    <xf numFmtId="0" fontId="7" fillId="4" borderId="2" xfId="0" applyFont="1" applyFill="1" applyBorder="1" applyAlignment="1">
      <alignment vertical="top"/>
    </xf>
    <xf numFmtId="0" fontId="0" fillId="5" borderId="2" xfId="0" applyFill="1" applyBorder="1" applyAlignment="1">
      <alignment vertical="top" wrapText="1"/>
    </xf>
    <xf numFmtId="0" fontId="7" fillId="5" borderId="2" xfId="0" applyFont="1" applyFill="1" applyBorder="1" applyAlignment="1">
      <alignment vertical="top"/>
    </xf>
    <xf numFmtId="0" fontId="0" fillId="0" borderId="2" xfId="0" applyBorder="1" applyAlignment="1">
      <alignment vertical="top"/>
    </xf>
    <xf numFmtId="0" fontId="8" fillId="0" borderId="0" xfId="0" applyFont="1"/>
    <xf numFmtId="0" fontId="9" fillId="0" borderId="0" xfId="0" applyFont="1" applyAlignment="1">
      <alignment wrapText="1"/>
    </xf>
    <xf numFmtId="0" fontId="10" fillId="0" borderId="0" xfId="0" applyFont="1"/>
    <xf numFmtId="0" fontId="7" fillId="6" borderId="2" xfId="0" applyFont="1" applyFill="1" applyBorder="1" applyAlignment="1">
      <alignment vertical="top"/>
    </xf>
    <xf numFmtId="0" fontId="11" fillId="4" borderId="4" xfId="0" applyFont="1" applyFill="1" applyBorder="1" applyAlignment="1">
      <alignment vertical="top" wrapText="1"/>
    </xf>
    <xf numFmtId="0" fontId="12" fillId="0" borderId="2" xfId="0" applyFont="1" applyBorder="1"/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Where the deal actually is, quarter by quarter</a:t>
            </a:r>
          </a:p>
        </c:rich>
      </c:tx>
      <c:layout/>
    </c:title>
    <c:plotArea>
      <c:layout/>
      <c:areaChart>
        <c:grouping val="stacked"/>
        <c:ser>
          <c:idx val="0"/>
          <c:order val="0"/>
          <c:tx>
            <c:strRef>
              <c:f>'Chart data'!$B$1</c:f>
              <c:strCache>
                <c:ptCount val="1"/>
                <c:pt idx="0">
                  <c:v>Initial RFP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data'!$B$2:$B$7</c:f>
              <c:numCache>
                <c:formatCode>General</c:formatCode>
                <c:ptCount val="6"/>
                <c:pt idx="0">
                  <c:v>100</c:v>
                </c:pt>
                <c:pt idx="1">
                  <c:v>51.66</c:v>
                </c:pt>
                <c:pt idx="2">
                  <c:v>26.69</c:v>
                </c:pt>
                <c:pt idx="3">
                  <c:v>13.81</c:v>
                </c:pt>
                <c:pt idx="4">
                  <c:v>7.16</c:v>
                </c:pt>
                <c:pt idx="5">
                  <c:v>3.73</c:v>
                </c:pt>
              </c:numCache>
            </c:numRef>
          </c:val>
        </c:ser>
        <c:ser>
          <c:idx val="1"/>
          <c:order val="1"/>
          <c:tx>
            <c:strRef>
              <c:f>'Chart data'!$C$1</c:f>
              <c:strCache>
                <c:ptCount val="1"/>
                <c:pt idx="0">
                  <c:v>Technical Review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data'!$C$2:$C$7</c:f>
              <c:numCache>
                <c:formatCode>General</c:formatCode>
                <c:ptCount val="6"/>
                <c:pt idx="0">
                  <c:v>0</c:v>
                </c:pt>
                <c:pt idx="1">
                  <c:v>12.22</c:v>
                </c:pt>
                <c:pt idx="2">
                  <c:v>12.96</c:v>
                </c:pt>
                <c:pt idx="3">
                  <c:v>10.3</c:v>
                </c:pt>
                <c:pt idx="4">
                  <c:v>7.29</c:v>
                </c:pt>
                <c:pt idx="5">
                  <c:v>4.83</c:v>
                </c:pt>
              </c:numCache>
            </c:numRef>
          </c:val>
        </c:ser>
        <c:ser>
          <c:idx val="2"/>
          <c:order val="2"/>
          <c:tx>
            <c:strRef>
              <c:f>'Chart data'!$D$1</c:f>
              <c:strCache>
                <c:ptCount val="1"/>
                <c:pt idx="0">
                  <c:v>Business Case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data'!$D$2:$D$7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1.9</c:v>
                </c:pt>
                <c:pt idx="3">
                  <c:v>3.05</c:v>
                </c:pt>
                <c:pt idx="4">
                  <c:v>3.27</c:v>
                </c:pt>
                <c:pt idx="5">
                  <c:v>2.92</c:v>
                </c:pt>
              </c:numCache>
            </c:numRef>
          </c:val>
        </c:ser>
        <c:ser>
          <c:idx val="3"/>
          <c:order val="3"/>
          <c:tx>
            <c:strRef>
              <c:f>'Chart data'!$E$1</c:f>
              <c:strCache>
                <c:ptCount val="1"/>
                <c:pt idx="0">
                  <c:v>CF Approval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data'!$E$2:$E$7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0.29</c:v>
                </c:pt>
                <c:pt idx="4">
                  <c:v>0.65</c:v>
                </c:pt>
                <c:pt idx="5">
                  <c:v>0.92</c:v>
                </c:pt>
              </c:numCache>
            </c:numRef>
          </c:val>
        </c:ser>
        <c:ser>
          <c:idx val="4"/>
          <c:order val="4"/>
          <c:tx>
            <c:strRef>
              <c:f>'Chart data'!$F$1</c:f>
              <c:strCache>
                <c:ptCount val="1"/>
                <c:pt idx="0">
                  <c:v>Legal &amp; InfoSec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data'!$F$2:$F$7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0.02</c:v>
                </c:pt>
                <c:pt idx="5">
                  <c:v>0.05</c:v>
                </c:pt>
              </c:numCache>
            </c:numRef>
          </c:val>
        </c:ser>
        <c:ser>
          <c:idx val="5"/>
          <c:order val="5"/>
          <c:tx>
            <c:strRef>
              <c:f>'Chart data'!$G$1</c:f>
              <c:strCache>
                <c:ptCount val="1"/>
                <c:pt idx="0">
                  <c:v>Closed_Won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data'!$G$2:$G$7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0.01</c:v>
                </c:pt>
                <c:pt idx="5">
                  <c:v>0.01</c:v>
                </c:pt>
              </c:numCache>
            </c:numRef>
          </c:val>
        </c:ser>
        <c:axId val="50010001"/>
        <c:axId val="50010002"/>
      </c:area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Quarter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Chance of being there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When it actually closes vs when sales said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data'!$J$1</c:f>
              <c:strCache>
                <c:ptCount val="1"/>
                <c:pt idx="0">
                  <c:v>Chance of closing</c:v>
                </c:pt>
              </c:strCache>
            </c:strRef>
          </c:tx>
          <c:cat>
            <c:strRef>
              <c:f>'Chart data'!$I$2:$I$7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data'!$J$2:$J$7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Quarter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Chance of closing in that quarter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Money you can actually plan on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'Chart data'!$M$1</c:f>
              <c:strCache>
                <c:ptCount val="1"/>
                <c:pt idx="0">
                  <c:v>Weighted by the real odds</c:v>
                </c:pt>
              </c:strCache>
            </c:strRef>
          </c:tx>
          <c:marker>
            <c:symbol val="none"/>
          </c:marker>
          <c:cat>
            <c:strRef>
              <c:f>'Chart data'!$L$2:$L$7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data'!$M$2:$M$7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strRef>
              <c:f>'Chart data'!$N$1</c:f>
              <c:strCache>
                <c:ptCount val="1"/>
                <c:pt idx="0">
                  <c:v>What sales promised</c:v>
                </c:pt>
              </c:strCache>
            </c:strRef>
          </c:tx>
          <c:marker>
            <c:symbol val="none"/>
          </c:marker>
          <c:cat>
            <c:strRef>
              <c:f>'Chart data'!$L$2:$L$7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data'!$N$2:$N$7</c:f>
              <c:numCache>
                <c:formatCode>General</c:formatCode>
                <c:ptCount val="6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Quarter</a:t>
                </a:r>
              </a:p>
            </c:rich>
          </c:tx>
          <c:layout/>
        </c:title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Value you can bank on ($M)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268224</xdr:colOff>
      <xdr:row>0</xdr:row>
      <xdr:rowOff>268224</xdr:rowOff>
    </xdr:to>
    <xdr:pic>
      <xdr:nvPicPr>
        <xdr:cNvPr id="2" name="Picture 1" descr="brand_mark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68224" cy="2682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12</xdr:col>
      <xdr:colOff>152400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12</xdr:col>
      <xdr:colOff>152400</xdr:colOff>
      <xdr:row>45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48</xdr:row>
      <xdr:rowOff>0</xdr:rowOff>
    </xdr:from>
    <xdr:to>
      <xdr:col>12</xdr:col>
      <xdr:colOff>152400</xdr:colOff>
      <xdr:row>67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26.7109375" customWidth="1"/>
    <col min="3" max="3" width="62.7109375" customWidth="1"/>
    <col min="4" max="4" width="26.7109375" customWidth="1"/>
  </cols>
  <sheetData>
    <row r="1" spans="1:4" ht="30" customHeight="1">
      <c r="B1" s="1" t="s">
        <v>0</v>
      </c>
    </row>
    <row r="2" spans="1:4">
      <c r="A2" s="2" t="s">
        <v>1</v>
      </c>
    </row>
    <row r="3" spans="1:4" ht="34" customHeight="1">
      <c r="A3" s="3" t="s">
        <v>2</v>
      </c>
    </row>
    <row r="5" spans="1:4">
      <c r="A5" s="4" t="s">
        <v>3</v>
      </c>
    </row>
    <row r="6" spans="1:4" ht="60" customHeight="1">
      <c r="A6" s="5" t="s">
        <v>4</v>
      </c>
      <c r="B6" s="5"/>
      <c r="C6" s="5"/>
      <c r="D6" s="5"/>
    </row>
    <row r="8" spans="1:4">
      <c r="A8" s="6" t="s">
        <v>5</v>
      </c>
      <c r="B8" s="7">
        <v>42</v>
      </c>
    </row>
    <row r="9" spans="1:4">
      <c r="A9" s="6" t="s">
        <v>6</v>
      </c>
      <c r="B9" s="3" t="s">
        <v>7</v>
      </c>
    </row>
    <row r="10" spans="1:4">
      <c r="A10" s="6" t="s">
        <v>8</v>
      </c>
      <c r="B10" s="3" t="s">
        <v>9</v>
      </c>
    </row>
    <row r="11" spans="1:4">
      <c r="A11" s="6" t="s">
        <v>10</v>
      </c>
      <c r="B11" s="3" t="s">
        <v>11</v>
      </c>
    </row>
    <row r="12" spans="1:4">
      <c r="A12" s="6" t="s">
        <v>12</v>
      </c>
      <c r="B12" s="3" t="s">
        <v>13</v>
      </c>
    </row>
    <row r="13" spans="1:4">
      <c r="A13" s="6" t="s">
        <v>14</v>
      </c>
      <c r="B13" s="3" t="s">
        <v>15</v>
      </c>
    </row>
    <row r="15" spans="1:4">
      <c r="A15" s="4" t="s">
        <v>16</v>
      </c>
    </row>
    <row r="16" spans="1:4" ht="22" customHeight="1">
      <c r="A16" s="8" t="s">
        <v>17</v>
      </c>
      <c r="B16" s="8" t="s">
        <v>18</v>
      </c>
      <c r="C16" s="8" t="s">
        <v>19</v>
      </c>
      <c r="D16" s="8" t="s">
        <v>20</v>
      </c>
    </row>
    <row r="17" spans="1:4">
      <c r="A17" s="9" t="s">
        <v>21</v>
      </c>
      <c r="B17" s="10" t="s">
        <v>22</v>
      </c>
      <c r="C17" s="9" t="s">
        <v>23</v>
      </c>
      <c r="D17" s="9" t="s">
        <v>24</v>
      </c>
    </row>
    <row r="18" spans="1:4">
      <c r="A18" s="11" t="s">
        <v>25</v>
      </c>
      <c r="B18" s="12" t="s">
        <v>26</v>
      </c>
      <c r="C18" s="11" t="s">
        <v>27</v>
      </c>
      <c r="D18" s="11" t="s">
        <v>28</v>
      </c>
    </row>
    <row r="19" spans="1:4">
      <c r="A19" s="9" t="s">
        <v>29</v>
      </c>
      <c r="B19" s="10" t="s">
        <v>30</v>
      </c>
      <c r="C19" s="9" t="s">
        <v>31</v>
      </c>
      <c r="D19" s="9" t="s">
        <v>32</v>
      </c>
    </row>
    <row r="20" spans="1:4">
      <c r="A20" s="11" t="s">
        <v>33</v>
      </c>
      <c r="B20" s="12" t="s">
        <v>34</v>
      </c>
      <c r="C20" s="11" t="s">
        <v>35</v>
      </c>
      <c r="D20" s="11" t="s">
        <v>28</v>
      </c>
    </row>
    <row r="21" spans="1:4">
      <c r="A21" s="9" t="s">
        <v>36</v>
      </c>
      <c r="B21" s="10" t="s">
        <v>37</v>
      </c>
      <c r="C21" s="9" t="s">
        <v>38</v>
      </c>
      <c r="D21" s="9" t="s">
        <v>39</v>
      </c>
    </row>
    <row r="22" spans="1:4">
      <c r="A22" s="13" t="s">
        <v>40</v>
      </c>
      <c r="B22" s="14" t="s">
        <v>41</v>
      </c>
      <c r="C22" s="13" t="s">
        <v>42</v>
      </c>
      <c r="D22" s="13" t="s">
        <v>43</v>
      </c>
    </row>
    <row r="23" spans="1:4">
      <c r="A23" s="13" t="s">
        <v>44</v>
      </c>
      <c r="B23" s="14" t="s">
        <v>45</v>
      </c>
      <c r="C23" s="13" t="s">
        <v>46</v>
      </c>
      <c r="D23" s="13" t="s">
        <v>47</v>
      </c>
    </row>
  </sheetData>
  <mergeCells count="1">
    <mergeCell ref="A6:D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showGridLines="0" workbookViewId="0"/>
  </sheetViews>
  <sheetFormatPr defaultRowHeight="15"/>
  <cols>
    <col min="1" max="1" width="22.7109375" customWidth="1"/>
    <col min="2" max="2" width="96.7109375" customWidth="1"/>
  </cols>
  <sheetData>
    <row r="1" spans="1:2">
      <c r="A1" s="2" t="s">
        <v>48</v>
      </c>
    </row>
    <row r="2" spans="1:2" ht="34" customHeight="1">
      <c r="A2" s="5" t="s">
        <v>49</v>
      </c>
      <c r="B2" s="5"/>
    </row>
    <row r="4" spans="1:2">
      <c r="A4" s="6" t="s">
        <v>50</v>
      </c>
      <c r="B4" s="3" t="s">
        <v>51</v>
      </c>
    </row>
    <row r="5" spans="1:2">
      <c r="A5" s="6" t="s">
        <v>52</v>
      </c>
      <c r="B5" s="3" t="s">
        <v>53</v>
      </c>
    </row>
    <row r="6" spans="1:2">
      <c r="A6" s="6" t="s">
        <v>54</v>
      </c>
      <c r="B6" s="3" t="s">
        <v>51</v>
      </c>
    </row>
    <row r="8" spans="1:2">
      <c r="A8" s="4" t="s">
        <v>55</v>
      </c>
    </row>
    <row r="9" spans="1:2">
      <c r="A9" s="6" t="s">
        <v>56</v>
      </c>
      <c r="B9" s="3" t="s">
        <v>57</v>
      </c>
    </row>
    <row r="10" spans="1:2">
      <c r="A10" s="6" t="s">
        <v>58</v>
      </c>
      <c r="B10" s="3" t="s">
        <v>59</v>
      </c>
    </row>
    <row r="11" spans="1:2">
      <c r="A11" s="6" t="s">
        <v>60</v>
      </c>
      <c r="B11" s="3" t="s">
        <v>61</v>
      </c>
    </row>
    <row r="12" spans="1:2">
      <c r="A12" s="6" t="s">
        <v>62</v>
      </c>
      <c r="B12" s="3" t="s">
        <v>63</v>
      </c>
    </row>
    <row r="14" spans="1:2">
      <c r="A14" s="4" t="s">
        <v>64</v>
      </c>
    </row>
    <row r="15" spans="1:2">
      <c r="A15" s="6" t="s">
        <v>65</v>
      </c>
      <c r="B15" s="3" t="s">
        <v>66</v>
      </c>
    </row>
    <row r="16" spans="1:2">
      <c r="A16" s="6" t="s">
        <v>67</v>
      </c>
      <c r="B16" s="3" t="s">
        <v>68</v>
      </c>
    </row>
    <row r="17" spans="1:2">
      <c r="A17" s="6" t="s">
        <v>69</v>
      </c>
      <c r="B17" s="3" t="s">
        <v>70</v>
      </c>
    </row>
    <row r="18" spans="1:2">
      <c r="A18" s="6" t="s">
        <v>71</v>
      </c>
      <c r="B18" s="3" t="s">
        <v>72</v>
      </c>
    </row>
    <row r="20" spans="1:2">
      <c r="A20" s="4" t="s">
        <v>73</v>
      </c>
    </row>
    <row r="21" spans="1:2">
      <c r="A21" s="6"/>
      <c r="B21" s="3" t="s">
        <v>74</v>
      </c>
    </row>
  </sheetData>
  <mergeCells count="1"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"/>
  <sheetViews>
    <sheetView showGridLines="0" workbookViewId="0"/>
  </sheetViews>
  <sheetFormatPr defaultRowHeight="15"/>
  <cols>
    <col min="1" max="7" width="16.7109375" customWidth="1"/>
    <col min="9" max="10" width="16.7109375" customWidth="1"/>
    <col min="12" max="14" width="16.7109375" customWidth="1"/>
  </cols>
  <sheetData>
    <row r="1" spans="1:14">
      <c r="A1" s="8" t="s">
        <v>76</v>
      </c>
      <c r="B1" s="8" t="s">
        <v>83</v>
      </c>
      <c r="C1" s="8" t="s">
        <v>84</v>
      </c>
      <c r="D1" s="8" t="s">
        <v>85</v>
      </c>
      <c r="E1" s="8" t="s">
        <v>86</v>
      </c>
      <c r="F1" s="8" t="s">
        <v>87</v>
      </c>
      <c r="G1" s="8" t="s">
        <v>88</v>
      </c>
      <c r="I1" s="8" t="s">
        <v>90</v>
      </c>
      <c r="J1" s="8" t="s">
        <v>91</v>
      </c>
      <c r="L1" s="8" t="s">
        <v>93</v>
      </c>
      <c r="M1" s="8" t="s">
        <v>94</v>
      </c>
      <c r="N1" s="8" t="s">
        <v>95</v>
      </c>
    </row>
    <row r="2" spans="1:14">
      <c r="A2" s="15" t="s">
        <v>77</v>
      </c>
      <c r="B2" s="15">
        <v>100</v>
      </c>
      <c r="C2" s="15">
        <v>0</v>
      </c>
      <c r="D2" s="15">
        <v>0</v>
      </c>
      <c r="E2" s="15">
        <v>0</v>
      </c>
      <c r="F2" s="15">
        <v>0</v>
      </c>
      <c r="G2" s="15">
        <v>0</v>
      </c>
      <c r="I2" s="15" t="s">
        <v>77</v>
      </c>
      <c r="J2" s="15">
        <v>0</v>
      </c>
      <c r="L2" s="15" t="s">
        <v>77</v>
      </c>
      <c r="M2" s="15">
        <v>0</v>
      </c>
      <c r="N2" s="15">
        <v>3</v>
      </c>
    </row>
    <row r="3" spans="1:14">
      <c r="A3" s="15" t="s">
        <v>78</v>
      </c>
      <c r="B3" s="15">
        <v>51.66</v>
      </c>
      <c r="C3" s="15">
        <v>12.22</v>
      </c>
      <c r="D3" s="15">
        <v>0</v>
      </c>
      <c r="E3" s="15">
        <v>0</v>
      </c>
      <c r="F3" s="15">
        <v>0</v>
      </c>
      <c r="G3" s="15">
        <v>0</v>
      </c>
      <c r="I3" s="15" t="s">
        <v>78</v>
      </c>
      <c r="J3" s="15">
        <v>0</v>
      </c>
      <c r="L3" s="15" t="s">
        <v>78</v>
      </c>
      <c r="M3" s="15">
        <v>0</v>
      </c>
      <c r="N3" s="15">
        <v>3</v>
      </c>
    </row>
    <row r="4" spans="1:14">
      <c r="A4" s="15" t="s">
        <v>79</v>
      </c>
      <c r="B4" s="15">
        <v>26.69</v>
      </c>
      <c r="C4" s="15">
        <v>12.96</v>
      </c>
      <c r="D4" s="15">
        <v>1.9</v>
      </c>
      <c r="E4" s="15">
        <v>0</v>
      </c>
      <c r="F4" s="15">
        <v>0</v>
      </c>
      <c r="G4" s="15">
        <v>0</v>
      </c>
      <c r="I4" s="15" t="s">
        <v>79</v>
      </c>
      <c r="J4" s="15">
        <v>0</v>
      </c>
      <c r="L4" s="15" t="s">
        <v>79</v>
      </c>
      <c r="M4" s="15">
        <v>0</v>
      </c>
      <c r="N4" s="15">
        <v>3</v>
      </c>
    </row>
    <row r="5" spans="1:14">
      <c r="A5" s="15" t="s">
        <v>80</v>
      </c>
      <c r="B5" s="15">
        <v>13.81</v>
      </c>
      <c r="C5" s="15">
        <v>10.3</v>
      </c>
      <c r="D5" s="15">
        <v>3.05</v>
      </c>
      <c r="E5" s="15">
        <v>0.29</v>
      </c>
      <c r="F5" s="15">
        <v>0</v>
      </c>
      <c r="G5" s="15">
        <v>0</v>
      </c>
      <c r="I5" s="15" t="s">
        <v>80</v>
      </c>
      <c r="J5" s="15">
        <v>0</v>
      </c>
      <c r="L5" s="15" t="s">
        <v>80</v>
      </c>
      <c r="M5" s="15">
        <v>0</v>
      </c>
      <c r="N5" s="15">
        <v>3</v>
      </c>
    </row>
    <row r="6" spans="1:14">
      <c r="A6" s="15" t="s">
        <v>81</v>
      </c>
      <c r="B6" s="15">
        <v>7.16</v>
      </c>
      <c r="C6" s="15">
        <v>7.29</v>
      </c>
      <c r="D6" s="15">
        <v>3.27</v>
      </c>
      <c r="E6" s="15">
        <v>0.65</v>
      </c>
      <c r="F6" s="15">
        <v>0.02</v>
      </c>
      <c r="G6" s="15">
        <v>0.01</v>
      </c>
      <c r="I6" s="15" t="s">
        <v>81</v>
      </c>
      <c r="J6" s="15">
        <v>0</v>
      </c>
      <c r="L6" s="15" t="s">
        <v>81</v>
      </c>
      <c r="M6" s="15">
        <v>0</v>
      </c>
      <c r="N6" s="15">
        <v>3</v>
      </c>
    </row>
    <row r="7" spans="1:14">
      <c r="A7" s="15" t="s">
        <v>82</v>
      </c>
      <c r="B7" s="15">
        <v>3.73</v>
      </c>
      <c r="C7" s="15">
        <v>4.83</v>
      </c>
      <c r="D7" s="15">
        <v>2.92</v>
      </c>
      <c r="E7" s="15">
        <v>0.92</v>
      </c>
      <c r="F7" s="15">
        <v>0.05</v>
      </c>
      <c r="G7" s="15">
        <v>0.01</v>
      </c>
      <c r="I7" s="15" t="s">
        <v>82</v>
      </c>
      <c r="J7" s="15">
        <v>0</v>
      </c>
      <c r="L7" s="15" t="s">
        <v>82</v>
      </c>
      <c r="M7" s="15">
        <v>0</v>
      </c>
      <c r="N7" s="15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B48"/>
  <sheetViews>
    <sheetView showGridLines="0" workbookViewId="0"/>
  </sheetViews>
  <sheetFormatPr defaultRowHeight="15"/>
  <cols>
    <col min="1" max="1" width="2.7109375" customWidth="1"/>
  </cols>
  <sheetData>
    <row r="1" spans="2:2">
      <c r="B1" s="16" t="s">
        <v>75</v>
      </c>
    </row>
    <row r="3" spans="2:2">
      <c r="B3" t="s">
        <v>76</v>
      </c>
    </row>
    <row r="4" spans="2:2">
      <c r="B4" s="17" t="s">
        <v>89</v>
      </c>
    </row>
    <row r="25" spans="2:2">
      <c r="B25" t="s">
        <v>90</v>
      </c>
    </row>
    <row r="26" spans="2:2">
      <c r="B26" s="17" t="s">
        <v>92</v>
      </c>
    </row>
    <row r="47" spans="2:2">
      <c r="B47" t="s">
        <v>93</v>
      </c>
    </row>
    <row r="48" spans="2:2">
      <c r="B48" s="17" t="s">
        <v>96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2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1.7109375" customWidth="1"/>
    <col min="2" max="2" width="14.7109375" customWidth="1"/>
    <col min="3" max="3" width="19.7109375" customWidth="1"/>
    <col min="4" max="4" width="16.7109375" customWidth="1"/>
    <col min="5" max="5" width="14.7109375" customWidth="1"/>
    <col min="6" max="6" width="18.7109375" customWidth="1"/>
    <col min="7" max="7" width="13.7109375" customWidth="1"/>
    <col min="8" max="8" width="14.7109375" customWidth="1"/>
  </cols>
  <sheetData>
    <row r="1" spans="1:8">
      <c r="A1" s="4" t="s">
        <v>97</v>
      </c>
    </row>
    <row r="2" spans="1:8">
      <c r="A2" s="18" t="s">
        <v>98</v>
      </c>
    </row>
    <row r="4" spans="1:8" ht="24" customHeight="1">
      <c r="A4" s="8" t="s">
        <v>99</v>
      </c>
      <c r="B4" s="8" t="s">
        <v>83</v>
      </c>
      <c r="C4" s="8" t="s">
        <v>84</v>
      </c>
      <c r="D4" s="8" t="s">
        <v>85</v>
      </c>
      <c r="E4" s="8" t="s">
        <v>86</v>
      </c>
      <c r="F4" s="8" t="s">
        <v>87</v>
      </c>
      <c r="G4" s="8" t="s">
        <v>88</v>
      </c>
      <c r="H4" s="8" t="s">
        <v>100</v>
      </c>
    </row>
    <row r="5" spans="1:8">
      <c r="A5" s="15" t="s">
        <v>77</v>
      </c>
      <c r="B5" s="15" t="s">
        <v>101</v>
      </c>
      <c r="C5" s="15" t="s">
        <v>102</v>
      </c>
      <c r="D5" s="15" t="s">
        <v>103</v>
      </c>
      <c r="E5" s="15" t="s">
        <v>103</v>
      </c>
      <c r="F5" s="15" t="s">
        <v>103</v>
      </c>
      <c r="G5" s="15" t="s">
        <v>103</v>
      </c>
      <c r="H5" s="15" t="s">
        <v>104</v>
      </c>
    </row>
    <row r="6" spans="1:8">
      <c r="A6" s="15" t="s">
        <v>78</v>
      </c>
      <c r="B6" s="15" t="s">
        <v>105</v>
      </c>
      <c r="C6" s="15" t="s">
        <v>106</v>
      </c>
      <c r="D6" s="15" t="s">
        <v>107</v>
      </c>
      <c r="E6" s="15" t="s">
        <v>108</v>
      </c>
      <c r="F6" s="15" t="s">
        <v>109</v>
      </c>
      <c r="G6" s="15" t="s">
        <v>110</v>
      </c>
      <c r="H6" s="15" t="s">
        <v>111</v>
      </c>
    </row>
    <row r="7" spans="1:8">
      <c r="A7" s="15" t="s">
        <v>79</v>
      </c>
      <c r="B7" s="15" t="s">
        <v>112</v>
      </c>
      <c r="C7" s="15" t="s">
        <v>113</v>
      </c>
      <c r="D7" s="15" t="s">
        <v>114</v>
      </c>
      <c r="E7" s="15" t="s">
        <v>115</v>
      </c>
      <c r="F7" s="15" t="s">
        <v>116</v>
      </c>
      <c r="G7" s="15" t="s">
        <v>117</v>
      </c>
      <c r="H7" s="15" t="s">
        <v>118</v>
      </c>
    </row>
    <row r="8" spans="1:8">
      <c r="A8" s="15" t="s">
        <v>80</v>
      </c>
      <c r="B8" s="15" t="s">
        <v>119</v>
      </c>
      <c r="C8" s="15" t="s">
        <v>120</v>
      </c>
      <c r="D8" s="15" t="s">
        <v>121</v>
      </c>
      <c r="E8" s="15" t="s">
        <v>122</v>
      </c>
      <c r="F8" s="15" t="s">
        <v>123</v>
      </c>
      <c r="G8" s="15" t="s">
        <v>124</v>
      </c>
      <c r="H8" s="15" t="s">
        <v>125</v>
      </c>
    </row>
    <row r="9" spans="1:8">
      <c r="A9" s="15" t="s">
        <v>81</v>
      </c>
      <c r="B9" s="15" t="s">
        <v>126</v>
      </c>
      <c r="C9" s="15" t="s">
        <v>127</v>
      </c>
      <c r="D9" s="15" t="s">
        <v>128</v>
      </c>
      <c r="E9" s="15" t="s">
        <v>129</v>
      </c>
      <c r="F9" s="15" t="s">
        <v>130</v>
      </c>
      <c r="G9" s="15" t="s">
        <v>131</v>
      </c>
      <c r="H9" s="15" t="s">
        <v>132</v>
      </c>
    </row>
    <row r="10" spans="1:8">
      <c r="A10" s="15" t="s">
        <v>82</v>
      </c>
      <c r="B10" s="15" t="s">
        <v>133</v>
      </c>
      <c r="C10" s="15" t="s">
        <v>134</v>
      </c>
      <c r="D10" s="15" t="s">
        <v>135</v>
      </c>
      <c r="E10" s="15" t="s">
        <v>136</v>
      </c>
      <c r="F10" s="15" t="s">
        <v>137</v>
      </c>
      <c r="G10" s="15" t="s">
        <v>138</v>
      </c>
      <c r="H10" s="15" t="s">
        <v>139</v>
      </c>
    </row>
    <row r="12" spans="1:8">
      <c r="A12" s="18" t="s">
        <v>140</v>
      </c>
    </row>
  </sheetData>
  <autoFilter ref="A4:H10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2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1.7109375" customWidth="1"/>
    <col min="2" max="2" width="25.7109375" customWidth="1"/>
    <col min="3" max="3" width="28.7109375" customWidth="1"/>
    <col min="4" max="4" width="23.7109375" customWidth="1"/>
    <col min="5" max="5" width="24.7109375" customWidth="1"/>
    <col min="6" max="6" width="22.7109375" customWidth="1"/>
    <col min="7" max="7" width="19.7109375" customWidth="1"/>
  </cols>
  <sheetData>
    <row r="1" spans="1:7">
      <c r="A1" s="4" t="s">
        <v>141</v>
      </c>
    </row>
    <row r="2" spans="1:7">
      <c r="A2" s="18" t="s">
        <v>142</v>
      </c>
    </row>
    <row r="4" spans="1:7" ht="24" customHeight="1">
      <c r="A4" s="8" t="s">
        <v>99</v>
      </c>
      <c r="B4" s="8" t="s">
        <v>143</v>
      </c>
      <c r="C4" s="8" t="s">
        <v>144</v>
      </c>
      <c r="D4" s="8" t="s">
        <v>145</v>
      </c>
      <c r="E4" s="8" t="s">
        <v>146</v>
      </c>
      <c r="F4" s="8" t="s">
        <v>147</v>
      </c>
      <c r="G4" s="8" t="s">
        <v>148</v>
      </c>
    </row>
    <row r="5" spans="1:7">
      <c r="A5" s="15" t="s">
        <v>77</v>
      </c>
      <c r="B5" s="15" t="s">
        <v>103</v>
      </c>
      <c r="C5" s="15" t="s">
        <v>149</v>
      </c>
      <c r="D5" s="15" t="s">
        <v>149</v>
      </c>
      <c r="E5" s="15" t="s">
        <v>103</v>
      </c>
      <c r="F5" s="15" t="s">
        <v>104</v>
      </c>
      <c r="G5" s="15" t="s">
        <v>37</v>
      </c>
    </row>
    <row r="6" spans="1:7">
      <c r="A6" s="19" t="s">
        <v>78</v>
      </c>
      <c r="B6" s="19" t="s">
        <v>22</v>
      </c>
      <c r="C6" s="19" t="s">
        <v>150</v>
      </c>
      <c r="D6" s="19" t="s">
        <v>34</v>
      </c>
      <c r="E6" s="19" t="s">
        <v>110</v>
      </c>
      <c r="F6" s="19" t="s">
        <v>111</v>
      </c>
      <c r="G6" s="19" t="s">
        <v>37</v>
      </c>
    </row>
    <row r="7" spans="1:7">
      <c r="A7" s="15" t="s">
        <v>79</v>
      </c>
      <c r="B7" s="15" t="s">
        <v>151</v>
      </c>
      <c r="C7" s="15" t="s">
        <v>152</v>
      </c>
      <c r="D7" s="15" t="s">
        <v>153</v>
      </c>
      <c r="E7" s="15" t="s">
        <v>117</v>
      </c>
      <c r="F7" s="15" t="s">
        <v>118</v>
      </c>
      <c r="G7" s="15" t="s">
        <v>37</v>
      </c>
    </row>
    <row r="8" spans="1:7">
      <c r="A8" s="15" t="s">
        <v>80</v>
      </c>
      <c r="B8" s="15" t="s">
        <v>154</v>
      </c>
      <c r="C8" s="15" t="s">
        <v>155</v>
      </c>
      <c r="D8" s="15" t="s">
        <v>156</v>
      </c>
      <c r="E8" s="15" t="s">
        <v>124</v>
      </c>
      <c r="F8" s="15" t="s">
        <v>125</v>
      </c>
      <c r="G8" s="15" t="s">
        <v>37</v>
      </c>
    </row>
    <row r="9" spans="1:7">
      <c r="A9" s="15" t="s">
        <v>81</v>
      </c>
      <c r="B9" s="15" t="s">
        <v>157</v>
      </c>
      <c r="C9" s="15" t="s">
        <v>158</v>
      </c>
      <c r="D9" s="15" t="s">
        <v>159</v>
      </c>
      <c r="E9" s="15" t="s">
        <v>131</v>
      </c>
      <c r="F9" s="15" t="s">
        <v>132</v>
      </c>
      <c r="G9" s="15" t="s">
        <v>37</v>
      </c>
    </row>
    <row r="10" spans="1:7">
      <c r="A10" s="15" t="s">
        <v>82</v>
      </c>
      <c r="B10" s="15" t="s">
        <v>160</v>
      </c>
      <c r="C10" s="15" t="s">
        <v>161</v>
      </c>
      <c r="D10" s="15" t="s">
        <v>162</v>
      </c>
      <c r="E10" s="15" t="s">
        <v>138</v>
      </c>
      <c r="F10" s="15" t="s">
        <v>139</v>
      </c>
      <c r="G10" s="15" t="s">
        <v>37</v>
      </c>
    </row>
    <row r="12" spans="1:7">
      <c r="A12" s="18" t="s">
        <v>163</v>
      </c>
    </row>
  </sheetData>
  <autoFilter ref="A4:G1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0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31.7109375" customWidth="1"/>
    <col min="2" max="3" width="25.7109375" customWidth="1"/>
  </cols>
  <sheetData>
    <row r="1" spans="1:3">
      <c r="A1" s="4" t="s">
        <v>164</v>
      </c>
    </row>
    <row r="2" spans="1:3">
      <c r="A2" s="18" t="s">
        <v>165</v>
      </c>
    </row>
    <row r="4" spans="1:3" ht="24" customHeight="1">
      <c r="A4" s="8" t="s">
        <v>166</v>
      </c>
      <c r="B4" s="8" t="s">
        <v>167</v>
      </c>
      <c r="C4" s="8" t="s">
        <v>168</v>
      </c>
    </row>
    <row r="5" spans="1:3">
      <c r="A5" s="15" t="s">
        <v>169</v>
      </c>
      <c r="B5" s="15" t="s">
        <v>110</v>
      </c>
      <c r="C5" s="15" t="s">
        <v>30</v>
      </c>
    </row>
    <row r="6" spans="1:3">
      <c r="A6" s="15" t="s">
        <v>170</v>
      </c>
      <c r="B6" s="15" t="s">
        <v>171</v>
      </c>
      <c r="C6" s="15" t="s">
        <v>172</v>
      </c>
    </row>
    <row r="7" spans="1:3">
      <c r="A7" s="15" t="s">
        <v>173</v>
      </c>
      <c r="B7" s="15" t="s">
        <v>171</v>
      </c>
      <c r="C7" s="15" t="s">
        <v>172</v>
      </c>
    </row>
    <row r="8" spans="1:3">
      <c r="A8" s="19" t="s">
        <v>174</v>
      </c>
      <c r="B8" s="19" t="s">
        <v>110</v>
      </c>
      <c r="C8" s="19" t="s">
        <v>30</v>
      </c>
    </row>
    <row r="10" spans="1:3">
      <c r="A10" s="18" t="s">
        <v>175</v>
      </c>
    </row>
  </sheetData>
  <autoFilter ref="A4:C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1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18.7109375" customWidth="1"/>
    <col min="3" max="3" width="11.7109375" customWidth="1"/>
    <col min="4" max="4" width="22.7109375" customWidth="1"/>
    <col min="5" max="5" width="20.7109375" customWidth="1"/>
    <col min="6" max="6" width="14.7109375" customWidth="1"/>
    <col min="7" max="7" width="19.7109375" customWidth="1"/>
    <col min="8" max="8" width="24.7109375" customWidth="1"/>
    <col min="9" max="9" width="19.7109375" customWidth="1"/>
  </cols>
  <sheetData>
    <row r="1" spans="1:9">
      <c r="A1" s="4" t="s">
        <v>176</v>
      </c>
    </row>
    <row r="2" spans="1:9">
      <c r="A2" s="18" t="s">
        <v>177</v>
      </c>
    </row>
    <row r="4" spans="1:9" ht="24" customHeight="1">
      <c r="A4" s="8" t="s">
        <v>178</v>
      </c>
      <c r="B4" s="8" t="s">
        <v>179</v>
      </c>
      <c r="C4" s="8" t="s">
        <v>18</v>
      </c>
      <c r="D4" s="8" t="s">
        <v>180</v>
      </c>
      <c r="E4" s="8" t="s">
        <v>181</v>
      </c>
      <c r="F4" s="8" t="s">
        <v>182</v>
      </c>
      <c r="G4" s="8" t="s">
        <v>183</v>
      </c>
      <c r="H4" s="8" t="s">
        <v>184</v>
      </c>
      <c r="I4" s="8" t="s">
        <v>185</v>
      </c>
    </row>
    <row r="5" spans="1:9">
      <c r="A5" s="15" t="s">
        <v>186</v>
      </c>
      <c r="B5" s="15" t="s">
        <v>84</v>
      </c>
      <c r="C5" s="15" t="s">
        <v>187</v>
      </c>
      <c r="D5" s="15" t="s">
        <v>188</v>
      </c>
      <c r="E5" s="15" t="s">
        <v>188</v>
      </c>
      <c r="F5" s="15" t="s">
        <v>188</v>
      </c>
      <c r="G5" s="15" t="s">
        <v>189</v>
      </c>
      <c r="H5" s="15" t="s">
        <v>190</v>
      </c>
      <c r="I5" s="15" t="s">
        <v>191</v>
      </c>
    </row>
    <row r="6" spans="1:9">
      <c r="A6" s="15" t="s">
        <v>192</v>
      </c>
      <c r="B6" s="15" t="s">
        <v>84</v>
      </c>
      <c r="C6" s="15" t="s">
        <v>193</v>
      </c>
      <c r="D6" s="15" t="s">
        <v>157</v>
      </c>
      <c r="E6" s="15" t="s">
        <v>194</v>
      </c>
      <c r="F6" s="15" t="s">
        <v>195</v>
      </c>
      <c r="G6" s="15" t="s">
        <v>196</v>
      </c>
      <c r="H6" s="15" t="s">
        <v>197</v>
      </c>
      <c r="I6" s="15" t="s">
        <v>198</v>
      </c>
    </row>
    <row r="7" spans="1:9">
      <c r="A7" s="15" t="s">
        <v>199</v>
      </c>
      <c r="B7" s="15" t="s">
        <v>85</v>
      </c>
      <c r="C7" s="15" t="s">
        <v>200</v>
      </c>
      <c r="D7" s="15" t="s">
        <v>201</v>
      </c>
      <c r="E7" s="15" t="s">
        <v>202</v>
      </c>
      <c r="F7" s="15" t="s">
        <v>203</v>
      </c>
      <c r="G7" s="15" t="s">
        <v>204</v>
      </c>
      <c r="H7" s="15" t="s">
        <v>205</v>
      </c>
      <c r="I7" s="15" t="s">
        <v>206</v>
      </c>
    </row>
    <row r="8" spans="1:9">
      <c r="A8" s="15" t="s">
        <v>207</v>
      </c>
      <c r="B8" s="15" t="s">
        <v>83</v>
      </c>
      <c r="C8" s="15" t="s">
        <v>208</v>
      </c>
      <c r="D8" s="15" t="s">
        <v>171</v>
      </c>
      <c r="E8" s="15" t="s">
        <v>171</v>
      </c>
      <c r="F8" s="15" t="s">
        <v>171</v>
      </c>
      <c r="G8" s="15" t="s">
        <v>189</v>
      </c>
      <c r="H8" s="15" t="s">
        <v>190</v>
      </c>
      <c r="I8" s="15" t="s">
        <v>209</v>
      </c>
    </row>
    <row r="9" spans="1:9">
      <c r="A9" s="15" t="s">
        <v>210</v>
      </c>
      <c r="B9" s="15" t="s">
        <v>86</v>
      </c>
      <c r="C9" s="15" t="s">
        <v>211</v>
      </c>
      <c r="D9" s="15" t="s">
        <v>188</v>
      </c>
      <c r="E9" s="15" t="s">
        <v>188</v>
      </c>
      <c r="F9" s="15" t="s">
        <v>188</v>
      </c>
      <c r="G9" s="15" t="s">
        <v>189</v>
      </c>
      <c r="H9" s="15" t="s">
        <v>190</v>
      </c>
      <c r="I9" s="15" t="s">
        <v>212</v>
      </c>
    </row>
    <row r="10" spans="1:9">
      <c r="A10" s="15" t="s">
        <v>213</v>
      </c>
      <c r="B10" s="15" t="s">
        <v>86</v>
      </c>
      <c r="C10" s="15" t="s">
        <v>214</v>
      </c>
      <c r="D10" s="15" t="s">
        <v>188</v>
      </c>
      <c r="E10" s="15" t="s">
        <v>188</v>
      </c>
      <c r="F10" s="15" t="s">
        <v>188</v>
      </c>
      <c r="G10" s="15" t="s">
        <v>189</v>
      </c>
      <c r="H10" s="15" t="s">
        <v>190</v>
      </c>
      <c r="I10" s="15" t="s">
        <v>215</v>
      </c>
    </row>
    <row r="11" spans="1:9">
      <c r="A11" s="15" t="s">
        <v>216</v>
      </c>
      <c r="B11" s="15" t="s">
        <v>84</v>
      </c>
      <c r="C11" s="15" t="s">
        <v>217</v>
      </c>
      <c r="D11" s="15" t="s">
        <v>218</v>
      </c>
      <c r="E11" s="15" t="s">
        <v>219</v>
      </c>
      <c r="F11" s="15" t="s">
        <v>220</v>
      </c>
      <c r="G11" s="15" t="s">
        <v>221</v>
      </c>
      <c r="H11" s="15" t="s">
        <v>222</v>
      </c>
      <c r="I11" s="15" t="s">
        <v>209</v>
      </c>
    </row>
    <row r="12" spans="1:9">
      <c r="A12" s="15" t="s">
        <v>223</v>
      </c>
      <c r="B12" s="15" t="s">
        <v>83</v>
      </c>
      <c r="C12" s="15" t="s">
        <v>224</v>
      </c>
      <c r="D12" s="15" t="s">
        <v>171</v>
      </c>
      <c r="E12" s="15" t="s">
        <v>171</v>
      </c>
      <c r="F12" s="15" t="s">
        <v>171</v>
      </c>
      <c r="G12" s="15" t="s">
        <v>189</v>
      </c>
      <c r="H12" s="15" t="s">
        <v>190</v>
      </c>
      <c r="I12" s="15" t="s">
        <v>225</v>
      </c>
    </row>
    <row r="13" spans="1:9">
      <c r="A13" s="15" t="s">
        <v>226</v>
      </c>
      <c r="B13" s="15" t="s">
        <v>86</v>
      </c>
      <c r="C13" s="15" t="s">
        <v>227</v>
      </c>
      <c r="D13" s="15" t="s">
        <v>188</v>
      </c>
      <c r="E13" s="15" t="s">
        <v>188</v>
      </c>
      <c r="F13" s="15" t="s">
        <v>188</v>
      </c>
      <c r="G13" s="15" t="s">
        <v>189</v>
      </c>
      <c r="H13" s="15" t="s">
        <v>190</v>
      </c>
      <c r="I13" s="15" t="s">
        <v>228</v>
      </c>
    </row>
    <row r="14" spans="1:9">
      <c r="A14" s="15" t="s">
        <v>229</v>
      </c>
      <c r="B14" s="15" t="s">
        <v>83</v>
      </c>
      <c r="C14" s="15" t="s">
        <v>230</v>
      </c>
      <c r="D14" s="15" t="s">
        <v>231</v>
      </c>
      <c r="E14" s="15" t="s">
        <v>232</v>
      </c>
      <c r="F14" s="15" t="s">
        <v>233</v>
      </c>
      <c r="G14" s="15" t="s">
        <v>196</v>
      </c>
      <c r="H14" s="15" t="s">
        <v>234</v>
      </c>
      <c r="I14" s="15" t="s">
        <v>198</v>
      </c>
    </row>
    <row r="15" spans="1:9">
      <c r="A15" s="15" t="s">
        <v>235</v>
      </c>
      <c r="B15" s="15" t="s">
        <v>83</v>
      </c>
      <c r="C15" s="15" t="s">
        <v>236</v>
      </c>
      <c r="D15" s="15" t="s">
        <v>103</v>
      </c>
      <c r="E15" s="15" t="s">
        <v>110</v>
      </c>
      <c r="F15" s="15" t="s">
        <v>237</v>
      </c>
      <c r="G15" s="15" t="s">
        <v>238</v>
      </c>
      <c r="H15" s="15" t="s">
        <v>239</v>
      </c>
      <c r="I15" s="15" t="s">
        <v>206</v>
      </c>
    </row>
    <row r="16" spans="1:9">
      <c r="A16" s="15" t="s">
        <v>240</v>
      </c>
      <c r="B16" s="15" t="s">
        <v>84</v>
      </c>
      <c r="C16" s="15" t="s">
        <v>241</v>
      </c>
      <c r="D16" s="15" t="s">
        <v>242</v>
      </c>
      <c r="E16" s="15" t="s">
        <v>243</v>
      </c>
      <c r="F16" s="15" t="s">
        <v>244</v>
      </c>
      <c r="G16" s="15" t="s">
        <v>245</v>
      </c>
      <c r="H16" s="15" t="s">
        <v>246</v>
      </c>
      <c r="I16" s="15" t="s">
        <v>206</v>
      </c>
    </row>
    <row r="17" spans="1:9">
      <c r="A17" s="15" t="s">
        <v>247</v>
      </c>
      <c r="B17" s="15" t="s">
        <v>84</v>
      </c>
      <c r="C17" s="15" t="s">
        <v>248</v>
      </c>
      <c r="D17" s="15" t="s">
        <v>188</v>
      </c>
      <c r="E17" s="15" t="s">
        <v>188</v>
      </c>
      <c r="F17" s="15" t="s">
        <v>188</v>
      </c>
      <c r="G17" s="15" t="s">
        <v>189</v>
      </c>
      <c r="H17" s="15" t="s">
        <v>190</v>
      </c>
      <c r="I17" s="15" t="s">
        <v>225</v>
      </c>
    </row>
    <row r="18" spans="1:9">
      <c r="A18" s="15" t="s">
        <v>249</v>
      </c>
      <c r="B18" s="15" t="s">
        <v>84</v>
      </c>
      <c r="C18" s="15" t="s">
        <v>250</v>
      </c>
      <c r="D18" s="15" t="s">
        <v>242</v>
      </c>
      <c r="E18" s="15" t="s">
        <v>243</v>
      </c>
      <c r="F18" s="15" t="s">
        <v>244</v>
      </c>
      <c r="G18" s="15" t="s">
        <v>245</v>
      </c>
      <c r="H18" s="15" t="s">
        <v>246</v>
      </c>
      <c r="I18" s="15" t="s">
        <v>206</v>
      </c>
    </row>
    <row r="19" spans="1:9">
      <c r="A19" s="15" t="s">
        <v>251</v>
      </c>
      <c r="B19" s="15" t="s">
        <v>83</v>
      </c>
      <c r="C19" s="15" t="s">
        <v>252</v>
      </c>
      <c r="D19" s="15" t="s">
        <v>103</v>
      </c>
      <c r="E19" s="15" t="s">
        <v>110</v>
      </c>
      <c r="F19" s="15" t="s">
        <v>237</v>
      </c>
      <c r="G19" s="15" t="s">
        <v>238</v>
      </c>
      <c r="H19" s="15" t="s">
        <v>239</v>
      </c>
      <c r="I19" s="15" t="s">
        <v>206</v>
      </c>
    </row>
    <row r="20" spans="1:9">
      <c r="A20" s="15" t="s">
        <v>253</v>
      </c>
      <c r="B20" s="15" t="s">
        <v>84</v>
      </c>
      <c r="C20" s="15" t="s">
        <v>254</v>
      </c>
      <c r="D20" s="15" t="s">
        <v>188</v>
      </c>
      <c r="E20" s="15" t="s">
        <v>188</v>
      </c>
      <c r="F20" s="15" t="s">
        <v>188</v>
      </c>
      <c r="G20" s="15" t="s">
        <v>189</v>
      </c>
      <c r="H20" s="15" t="s">
        <v>190</v>
      </c>
      <c r="I20" s="15" t="s">
        <v>225</v>
      </c>
    </row>
    <row r="21" spans="1:9">
      <c r="A21" s="15" t="s">
        <v>255</v>
      </c>
      <c r="B21" s="15" t="s">
        <v>83</v>
      </c>
      <c r="C21" s="15" t="s">
        <v>256</v>
      </c>
      <c r="D21" s="15" t="s">
        <v>231</v>
      </c>
      <c r="E21" s="15" t="s">
        <v>232</v>
      </c>
      <c r="F21" s="15" t="s">
        <v>233</v>
      </c>
      <c r="G21" s="15" t="s">
        <v>196</v>
      </c>
      <c r="H21" s="15" t="s">
        <v>257</v>
      </c>
      <c r="I21" s="15" t="s">
        <v>198</v>
      </c>
    </row>
    <row r="22" spans="1:9">
      <c r="A22" s="15" t="s">
        <v>258</v>
      </c>
      <c r="B22" s="15" t="s">
        <v>85</v>
      </c>
      <c r="C22" s="15" t="s">
        <v>259</v>
      </c>
      <c r="D22" s="15" t="s">
        <v>194</v>
      </c>
      <c r="E22" s="15" t="s">
        <v>260</v>
      </c>
      <c r="F22" s="15" t="s">
        <v>201</v>
      </c>
      <c r="G22" s="15" t="s">
        <v>261</v>
      </c>
      <c r="H22" s="15" t="s">
        <v>262</v>
      </c>
      <c r="I22" s="15" t="s">
        <v>198</v>
      </c>
    </row>
    <row r="23" spans="1:9">
      <c r="A23" s="15" t="s">
        <v>263</v>
      </c>
      <c r="B23" s="15" t="s">
        <v>86</v>
      </c>
      <c r="C23" s="15" t="s">
        <v>264</v>
      </c>
      <c r="D23" s="15" t="s">
        <v>188</v>
      </c>
      <c r="E23" s="15" t="s">
        <v>188</v>
      </c>
      <c r="F23" s="15" t="s">
        <v>188</v>
      </c>
      <c r="G23" s="15" t="s">
        <v>189</v>
      </c>
      <c r="H23" s="15" t="s">
        <v>190</v>
      </c>
      <c r="I23" s="15" t="s">
        <v>215</v>
      </c>
    </row>
    <row r="24" spans="1:9">
      <c r="A24" s="15" t="s">
        <v>265</v>
      </c>
      <c r="B24" s="15" t="s">
        <v>85</v>
      </c>
      <c r="C24" s="15" t="s">
        <v>266</v>
      </c>
      <c r="D24" s="15" t="s">
        <v>201</v>
      </c>
      <c r="E24" s="15" t="s">
        <v>202</v>
      </c>
      <c r="F24" s="15" t="s">
        <v>203</v>
      </c>
      <c r="G24" s="15" t="s">
        <v>204</v>
      </c>
      <c r="H24" s="15" t="s">
        <v>267</v>
      </c>
      <c r="I24" s="15" t="s">
        <v>206</v>
      </c>
    </row>
    <row r="25" spans="1:9">
      <c r="A25" s="15" t="s">
        <v>268</v>
      </c>
      <c r="B25" s="15" t="s">
        <v>83</v>
      </c>
      <c r="C25" s="15" t="s">
        <v>269</v>
      </c>
      <c r="D25" s="15" t="s">
        <v>231</v>
      </c>
      <c r="E25" s="15" t="s">
        <v>232</v>
      </c>
      <c r="F25" s="15" t="s">
        <v>233</v>
      </c>
      <c r="G25" s="15" t="s">
        <v>196</v>
      </c>
      <c r="H25" s="15" t="s">
        <v>270</v>
      </c>
      <c r="I25" s="15" t="s">
        <v>198</v>
      </c>
    </row>
    <row r="26" spans="1:9">
      <c r="A26" s="15" t="s">
        <v>271</v>
      </c>
      <c r="B26" s="15" t="s">
        <v>83</v>
      </c>
      <c r="C26" s="15" t="s">
        <v>272</v>
      </c>
      <c r="D26" s="15" t="s">
        <v>103</v>
      </c>
      <c r="E26" s="15" t="s">
        <v>110</v>
      </c>
      <c r="F26" s="15" t="s">
        <v>237</v>
      </c>
      <c r="G26" s="15" t="s">
        <v>238</v>
      </c>
      <c r="H26" s="15" t="s">
        <v>239</v>
      </c>
      <c r="I26" s="15" t="s">
        <v>206</v>
      </c>
    </row>
    <row r="27" spans="1:9">
      <c r="A27" s="15" t="s">
        <v>273</v>
      </c>
      <c r="B27" s="15" t="s">
        <v>83</v>
      </c>
      <c r="C27" s="15" t="s">
        <v>274</v>
      </c>
      <c r="D27" s="15" t="s">
        <v>171</v>
      </c>
      <c r="E27" s="15" t="s">
        <v>171</v>
      </c>
      <c r="F27" s="15" t="s">
        <v>171</v>
      </c>
      <c r="G27" s="15" t="s">
        <v>189</v>
      </c>
      <c r="H27" s="15" t="s">
        <v>190</v>
      </c>
      <c r="I27" s="15" t="s">
        <v>228</v>
      </c>
    </row>
    <row r="28" spans="1:9">
      <c r="A28" s="15" t="s">
        <v>275</v>
      </c>
      <c r="B28" s="15" t="s">
        <v>84</v>
      </c>
      <c r="C28" s="15" t="s">
        <v>276</v>
      </c>
      <c r="D28" s="15" t="s">
        <v>188</v>
      </c>
      <c r="E28" s="15" t="s">
        <v>188</v>
      </c>
      <c r="F28" s="15" t="s">
        <v>188</v>
      </c>
      <c r="G28" s="15" t="s">
        <v>189</v>
      </c>
      <c r="H28" s="15" t="s">
        <v>190</v>
      </c>
      <c r="I28" s="15" t="s">
        <v>225</v>
      </c>
    </row>
    <row r="29" spans="1:9">
      <c r="A29" s="15" t="s">
        <v>277</v>
      </c>
      <c r="B29" s="15" t="s">
        <v>84</v>
      </c>
      <c r="C29" s="15" t="s">
        <v>278</v>
      </c>
      <c r="D29" s="15" t="s">
        <v>242</v>
      </c>
      <c r="E29" s="15" t="s">
        <v>243</v>
      </c>
      <c r="F29" s="15" t="s">
        <v>244</v>
      </c>
      <c r="G29" s="15" t="s">
        <v>245</v>
      </c>
      <c r="H29" s="15" t="s">
        <v>279</v>
      </c>
      <c r="I29" s="15" t="s">
        <v>206</v>
      </c>
    </row>
    <row r="31" spans="1:9">
      <c r="A31" s="18" t="s">
        <v>280</v>
      </c>
    </row>
  </sheetData>
  <autoFilter ref="A4:I29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2"/>
  <sheetViews>
    <sheetView showGridLines="0" workbookViewId="0"/>
  </sheetViews>
  <sheetFormatPr defaultRowHeight="15"/>
  <cols>
    <col min="1" max="1" width="8.7109375" customWidth="1"/>
    <col min="2" max="2" width="110.7109375" customWidth="1"/>
  </cols>
  <sheetData>
    <row r="1" spans="1:2">
      <c r="A1" s="4" t="s">
        <v>281</v>
      </c>
    </row>
    <row r="3" spans="1:2">
      <c r="A3" s="6" t="s">
        <v>282</v>
      </c>
    </row>
    <row r="4" spans="1:2">
      <c r="A4" s="6" t="s">
        <v>283</v>
      </c>
      <c r="B4" s="20" t="s">
        <v>284</v>
      </c>
    </row>
    <row r="5" spans="1:2">
      <c r="A5" s="6" t="s">
        <v>283</v>
      </c>
      <c r="B5" s="20" t="s">
        <v>285</v>
      </c>
    </row>
    <row r="7" spans="1:2">
      <c r="A7" s="6" t="s">
        <v>286</v>
      </c>
    </row>
    <row r="8" spans="1:2">
      <c r="A8" s="6">
        <v>1</v>
      </c>
      <c r="B8" s="3" t="s">
        <v>287</v>
      </c>
    </row>
    <row r="9" spans="1:2">
      <c r="A9" s="6">
        <v>2</v>
      </c>
      <c r="B9" s="3" t="s">
        <v>288</v>
      </c>
    </row>
    <row r="10" spans="1:2">
      <c r="A10" s="6">
        <v>3</v>
      </c>
      <c r="B10" s="3" t="s">
        <v>289</v>
      </c>
    </row>
    <row r="11" spans="1:2">
      <c r="A11" s="6">
        <v>4</v>
      </c>
      <c r="B11" s="3" t="s">
        <v>290</v>
      </c>
    </row>
    <row r="12" spans="1:2">
      <c r="A12" s="6">
        <v>5</v>
      </c>
      <c r="B12" s="3" t="s">
        <v>291</v>
      </c>
    </row>
    <row r="13" spans="1:2">
      <c r="A13" s="6">
        <v>6</v>
      </c>
      <c r="B13" s="3" t="s">
        <v>292</v>
      </c>
    </row>
    <row r="14" spans="1:2">
      <c r="A14" s="6">
        <v>7</v>
      </c>
      <c r="B14" s="3" t="s">
        <v>293</v>
      </c>
    </row>
    <row r="15" spans="1:2">
      <c r="A15" s="6">
        <v>8</v>
      </c>
      <c r="B15" s="3" t="s">
        <v>294</v>
      </c>
    </row>
    <row r="16" spans="1:2">
      <c r="A16" s="6">
        <v>9</v>
      </c>
      <c r="B16" s="3" t="s">
        <v>295</v>
      </c>
    </row>
    <row r="17" spans="1:2">
      <c r="A17" s="6">
        <v>10</v>
      </c>
      <c r="B17" s="3" t="s">
        <v>296</v>
      </c>
    </row>
    <row r="18" spans="1:2">
      <c r="A18" s="6">
        <v>11</v>
      </c>
      <c r="B18" s="3" t="s">
        <v>297</v>
      </c>
    </row>
    <row r="19" spans="1:2">
      <c r="A19" s="6">
        <v>12</v>
      </c>
      <c r="B19" s="3" t="s">
        <v>298</v>
      </c>
    </row>
    <row r="20" spans="1:2">
      <c r="A20" s="6">
        <v>13</v>
      </c>
      <c r="B20" s="3" t="s">
        <v>299</v>
      </c>
    </row>
    <row r="21" spans="1:2">
      <c r="A21" s="6">
        <v>14</v>
      </c>
      <c r="B21" s="3" t="s">
        <v>300</v>
      </c>
    </row>
    <row r="22" spans="1:2">
      <c r="A22" s="6">
        <v>15</v>
      </c>
      <c r="B22" s="3" t="s">
        <v>301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27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  <col min="3" max="3" width="90.7109375" customWidth="1"/>
    <col min="4" max="4" width="60.7109375" customWidth="1"/>
  </cols>
  <sheetData>
    <row r="1" spans="1:4" ht="22" customHeight="1">
      <c r="A1" s="8" t="s">
        <v>302</v>
      </c>
      <c r="B1" s="8" t="s">
        <v>303</v>
      </c>
      <c r="C1" s="8" t="s">
        <v>304</v>
      </c>
      <c r="D1" s="8" t="s">
        <v>305</v>
      </c>
    </row>
    <row r="2" spans="1:4">
      <c r="A2" s="21" t="s">
        <v>306</v>
      </c>
      <c r="B2" s="15" t="s">
        <v>307</v>
      </c>
      <c r="C2" s="22" t="s">
        <v>308</v>
      </c>
      <c r="D2" s="22"/>
    </row>
    <row r="3" spans="1:4">
      <c r="A3" s="21" t="s">
        <v>306</v>
      </c>
      <c r="B3" s="15" t="s">
        <v>307</v>
      </c>
      <c r="C3" s="22" t="s">
        <v>309</v>
      </c>
      <c r="D3" s="22" t="s">
        <v>310</v>
      </c>
    </row>
    <row r="4" spans="1:4">
      <c r="A4" s="21" t="s">
        <v>306</v>
      </c>
      <c r="B4" s="15" t="s">
        <v>307</v>
      </c>
      <c r="C4" s="22" t="s">
        <v>311</v>
      </c>
      <c r="D4" s="22"/>
    </row>
    <row r="5" spans="1:4">
      <c r="A5" s="21" t="s">
        <v>306</v>
      </c>
      <c r="B5" s="15" t="s">
        <v>307</v>
      </c>
      <c r="C5" s="22" t="s">
        <v>312</v>
      </c>
      <c r="D5" s="22"/>
    </row>
    <row r="6" spans="1:4">
      <c r="A6" s="21" t="s">
        <v>306</v>
      </c>
      <c r="B6" s="15" t="s">
        <v>307</v>
      </c>
      <c r="C6" s="22" t="s">
        <v>313</v>
      </c>
      <c r="D6" s="22"/>
    </row>
    <row r="7" spans="1:4">
      <c r="A7" s="21" t="s">
        <v>306</v>
      </c>
      <c r="B7" s="15" t="s">
        <v>307</v>
      </c>
      <c r="C7" s="22" t="s">
        <v>314</v>
      </c>
      <c r="D7" s="22"/>
    </row>
    <row r="8" spans="1:4">
      <c r="A8" s="21" t="s">
        <v>306</v>
      </c>
      <c r="B8" s="15" t="s">
        <v>307</v>
      </c>
      <c r="C8" s="22" t="s">
        <v>315</v>
      </c>
      <c r="D8" s="22"/>
    </row>
    <row r="9" spans="1:4">
      <c r="A9" s="21" t="s">
        <v>306</v>
      </c>
      <c r="B9" s="15" t="s">
        <v>307</v>
      </c>
      <c r="C9" s="22" t="s">
        <v>316</v>
      </c>
      <c r="D9" s="22"/>
    </row>
    <row r="10" spans="1:4">
      <c r="A10" s="21" t="s">
        <v>306</v>
      </c>
      <c r="B10" s="15" t="s">
        <v>307</v>
      </c>
      <c r="C10" s="22" t="s">
        <v>317</v>
      </c>
      <c r="D10" s="22"/>
    </row>
    <row r="11" spans="1:4">
      <c r="A11" s="21" t="s">
        <v>306</v>
      </c>
      <c r="B11" s="15" t="s">
        <v>307</v>
      </c>
      <c r="C11" s="22" t="s">
        <v>318</v>
      </c>
      <c r="D11" s="22"/>
    </row>
    <row r="12" spans="1:4">
      <c r="A12" s="21" t="s">
        <v>306</v>
      </c>
      <c r="B12" s="15" t="s">
        <v>307</v>
      </c>
      <c r="C12" s="22" t="s">
        <v>294</v>
      </c>
      <c r="D12" s="22" t="s">
        <v>319</v>
      </c>
    </row>
    <row r="13" spans="1:4">
      <c r="A13" s="21" t="s">
        <v>306</v>
      </c>
      <c r="B13" s="15" t="s">
        <v>307</v>
      </c>
      <c r="C13" s="22" t="s">
        <v>295</v>
      </c>
      <c r="D13" s="22" t="s">
        <v>319</v>
      </c>
    </row>
    <row r="14" spans="1:4">
      <c r="A14" s="21" t="s">
        <v>306</v>
      </c>
      <c r="B14" s="15" t="s">
        <v>307</v>
      </c>
      <c r="C14" s="22" t="s">
        <v>296</v>
      </c>
      <c r="D14" s="22" t="s">
        <v>319</v>
      </c>
    </row>
    <row r="15" spans="1:4">
      <c r="A15" s="21" t="s">
        <v>306</v>
      </c>
      <c r="B15" s="15" t="s">
        <v>307</v>
      </c>
      <c r="C15" s="22" t="s">
        <v>297</v>
      </c>
      <c r="D15" s="22" t="s">
        <v>319</v>
      </c>
    </row>
    <row r="16" spans="1:4">
      <c r="A16" s="21" t="s">
        <v>306</v>
      </c>
      <c r="B16" s="15" t="s">
        <v>307</v>
      </c>
      <c r="C16" s="22" t="s">
        <v>298</v>
      </c>
      <c r="D16" s="22" t="s">
        <v>319</v>
      </c>
    </row>
    <row r="17" spans="1:4">
      <c r="A17" s="21" t="s">
        <v>306</v>
      </c>
      <c r="B17" s="15" t="s">
        <v>307</v>
      </c>
      <c r="C17" s="22" t="s">
        <v>299</v>
      </c>
      <c r="D17" s="22" t="s">
        <v>319</v>
      </c>
    </row>
    <row r="18" spans="1:4">
      <c r="A18" s="21" t="s">
        <v>306</v>
      </c>
      <c r="B18" s="15" t="s">
        <v>307</v>
      </c>
      <c r="C18" s="22" t="s">
        <v>300</v>
      </c>
      <c r="D18" s="22" t="s">
        <v>319</v>
      </c>
    </row>
    <row r="19" spans="1:4">
      <c r="A19" s="21" t="s">
        <v>306</v>
      </c>
      <c r="B19" s="15" t="s">
        <v>307</v>
      </c>
      <c r="C19" s="22" t="s">
        <v>301</v>
      </c>
      <c r="D19" s="22" t="s">
        <v>319</v>
      </c>
    </row>
    <row r="20" spans="1:4">
      <c r="A20" s="21" t="s">
        <v>320</v>
      </c>
      <c r="B20" s="15" t="s">
        <v>307</v>
      </c>
      <c r="C20" s="22" t="s">
        <v>321</v>
      </c>
      <c r="D20" s="22"/>
    </row>
    <row r="21" spans="1:4">
      <c r="A21" s="21" t="s">
        <v>320</v>
      </c>
      <c r="B21" s="15" t="s">
        <v>322</v>
      </c>
      <c r="C21" s="22" t="s">
        <v>323</v>
      </c>
      <c r="D21" s="22"/>
    </row>
    <row r="22" spans="1:4">
      <c r="A22" s="21" t="s">
        <v>320</v>
      </c>
      <c r="B22" s="15" t="s">
        <v>324</v>
      </c>
      <c r="C22" s="22" t="s">
        <v>325</v>
      </c>
      <c r="D22" s="22"/>
    </row>
    <row r="23" spans="1:4">
      <c r="A23" s="21" t="s">
        <v>326</v>
      </c>
      <c r="B23" s="15" t="s">
        <v>307</v>
      </c>
      <c r="C23" s="22" t="s">
        <v>327</v>
      </c>
      <c r="D23" s="22" t="s">
        <v>328</v>
      </c>
    </row>
    <row r="24" spans="1:4">
      <c r="A24" s="21" t="s">
        <v>326</v>
      </c>
      <c r="B24" s="15" t="s">
        <v>307</v>
      </c>
      <c r="C24" s="22" t="s">
        <v>329</v>
      </c>
      <c r="D24" s="22" t="s">
        <v>330</v>
      </c>
    </row>
    <row r="25" spans="1:4">
      <c r="A25" s="21" t="s">
        <v>326</v>
      </c>
      <c r="B25" s="15" t="s">
        <v>322</v>
      </c>
      <c r="C25" s="22" t="s">
        <v>331</v>
      </c>
      <c r="D25" s="22"/>
    </row>
    <row r="26" spans="1:4">
      <c r="A26" s="21" t="s">
        <v>332</v>
      </c>
      <c r="B26" s="15" t="s">
        <v>333</v>
      </c>
      <c r="C26" s="22" t="s">
        <v>334</v>
      </c>
      <c r="D26" s="22"/>
    </row>
    <row r="27" spans="1:4">
      <c r="A27" s="21" t="s">
        <v>335</v>
      </c>
      <c r="B27" s="15" t="s">
        <v>333</v>
      </c>
      <c r="C27" s="22" t="s">
        <v>336</v>
      </c>
      <c r="D27" s="22"/>
    </row>
  </sheetData>
  <autoFilter ref="A1:D2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Recommendation</vt:lpstr>
      <vt:lpstr>Chart data</vt:lpstr>
      <vt:lpstr>Charts</vt:lpstr>
      <vt:lpstr>Quarter by quarter where the de</vt:lpstr>
      <vt:lpstr>The money, weighted by the odds</vt:lpstr>
      <vt:lpstr>What sitting still costs you</vt:lpstr>
      <vt:lpstr>Your open deals, weighted the s</vt:lpstr>
      <vt:lpstr>Assumptions</vt:lpstr>
      <vt:lpstr>Run 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2026-09-21T23:21:43Z</dcterms:created>
  <dcterms:modified xsi:type="dcterms:W3CDTF">2026-09-21T23:21:43Z</dcterms:modified>
</cp:coreProperties>
</file>